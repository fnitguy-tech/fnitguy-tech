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efinitions" sheetId="2" state="visible" r:id="rId2"/>
    <sheet xmlns:r="http://schemas.openxmlformats.org/officeDocument/2006/relationships" name="Reducing Attack Surface" sheetId="3" state="visible" r:id="rId3"/>
    <sheet xmlns:r="http://schemas.openxmlformats.org/officeDocument/2006/relationships" name="Common Attack Vectors" sheetId="4" state="visible" r:id="rId4"/>
    <sheet xmlns:r="http://schemas.openxmlformats.org/officeDocument/2006/relationships" name="Devices" sheetId="5" state="visible" r:id="rId5"/>
    <sheet xmlns:r="http://schemas.openxmlformats.org/officeDocument/2006/relationships" name="Accounts" sheetId="6" state="visible" r:id="rId6"/>
    <sheet xmlns:r="http://schemas.openxmlformats.org/officeDocument/2006/relationships" name="Applications" sheetId="7" state="visible" r:id="rId7"/>
    <sheet xmlns:r="http://schemas.openxmlformats.org/officeDocument/2006/relationships" name="Information" sheetId="8" state="visible" r:id="rId8"/>
    <sheet xmlns:r="http://schemas.openxmlformats.org/officeDocument/2006/relationships" name="Resources" sheetId="9" state="visible" r:id="rId9"/>
  </sheets>
  <definedNames>
    <definedName name="_xlnm._FilterDatabase" localSheetId="4" hidden="1">'Devices'!$B$6:$O$207</definedName>
    <definedName name="_xlnm.Print_Titles" localSheetId="4">'Devices'!$6:$6</definedName>
    <definedName name="_xlnm.Print_Area" localSheetId="4">'Devices'!$A$1:$P$60</definedName>
    <definedName name="_xlnm._FilterDatabase" localSheetId="5" hidden="1">'Accounts'!$B$6:$K$207</definedName>
    <definedName name="_xlnm.Print_Titles" localSheetId="5">'Accounts'!$6:$6</definedName>
    <definedName name="_xlnm.Print_Area" localSheetId="5">'Accounts'!$A$1:$L$60</definedName>
    <definedName name="_xlnm._FilterDatabase" localSheetId="6" hidden="1">'Applications'!$B$6:$J$207</definedName>
    <definedName name="_xlnm.Print_Titles" localSheetId="6">'Applications'!$6:$6</definedName>
    <definedName name="_xlnm.Print_Area" localSheetId="6">'Applications'!$A$1:$K$60</definedName>
    <definedName name="_xlnm._FilterDatabase" localSheetId="7" hidden="1">'Information'!$B$6:$K$207</definedName>
    <definedName name="_xlnm.Print_Titles" localSheetId="7">'Information'!$6:$6</definedName>
    <definedName name="_xlnm.Print_Area" localSheetId="7">'Information'!$A$1:$L$60</definedName>
  </definedNames>
  <calcPr calcId="124519" fullCalcOnLoad="1"/>
</workbook>
</file>

<file path=xl/styles.xml><?xml version="1.0" encoding="utf-8"?>
<styleSheet xmlns="http://schemas.openxmlformats.org/spreadsheetml/2006/main">
  <numFmts count="1">
    <numFmt numFmtId="164" formatCode="[=0]&quot;None&quot;;[=1]&quot;1 gap&quot;;0&quot; gaps&quot;"/>
  </numFmts>
  <fonts count="27">
    <font>
      <name val="Calibri"/>
      <family val="2"/>
      <color theme="1"/>
      <sz val="11"/>
      <scheme val="minor"/>
    </font>
    <font>
      <name val="Arial"/>
      <b val="1"/>
      <color rgb="00FFFFFF"/>
      <sz val="20"/>
    </font>
    <font>
      <name val="Arial"/>
      <color rgb="00C9D6E3"/>
      <sz val="10"/>
    </font>
    <font>
      <name val="Arial"/>
      <b val="1"/>
      <color rgb="0017324D"/>
      <sz val="9"/>
    </font>
    <font>
      <name val="Arial"/>
      <b val="1"/>
      <color rgb="00FFFFFF"/>
      <sz val="10"/>
    </font>
    <font>
      <name val="Arial"/>
      <b val="1"/>
      <color rgb="002A78D6"/>
      <sz val="9"/>
    </font>
    <font>
      <name val="Arial"/>
      <b val="1"/>
      <color rgb="0017324D"/>
      <sz val="11"/>
    </font>
    <font>
      <name val="Arial"/>
      <color rgb="001F2933"/>
      <sz val="10"/>
    </font>
    <font>
      <name val="Arial"/>
      <color rgb="00898781"/>
      <sz val="9"/>
    </font>
    <font>
      <name val="Arial"/>
      <color rgb="002A78D6"/>
      <sz val="9"/>
      <u val="single"/>
    </font>
    <font>
      <name val="Arial"/>
      <color rgb="001F2933"/>
      <sz val="11"/>
    </font>
    <font>
      <name val="Arial"/>
      <b val="1"/>
      <color rgb="0017324D"/>
      <sz val="13"/>
    </font>
    <font>
      <name val="Arial"/>
      <b val="1"/>
      <color rgb="00FFFFFF"/>
      <sz val="11"/>
    </font>
    <font>
      <name val="Arial"/>
      <color rgb="0052514E"/>
      <sz val="10"/>
    </font>
    <font>
      <name val="Arial"/>
      <b val="1"/>
      <color rgb="002A78D6"/>
      <sz val="10"/>
      <u val="single"/>
    </font>
    <font>
      <name val="Arial"/>
      <i val="1"/>
      <color rgb="00898781"/>
      <sz val="9"/>
    </font>
    <font>
      <name val="Arial"/>
      <b val="1"/>
      <color rgb="0017324D"/>
      <sz val="26"/>
    </font>
    <font>
      <name val="Arial"/>
      <b val="1"/>
      <color rgb="0052514E"/>
      <sz val="9"/>
    </font>
    <font>
      <name val="Arial"/>
      <b val="1"/>
      <color rgb="001F2933"/>
      <sz val="10"/>
    </font>
    <font>
      <name val="Arial"/>
      <i val="1"/>
      <color rgb="00898781"/>
      <sz val="8"/>
    </font>
    <font>
      <name val="Arial"/>
      <i val="1"/>
      <color rgb="00898781"/>
      <sz val="10"/>
    </font>
    <font>
      <name val="Arial"/>
      <b val="1"/>
      <i val="1"/>
      <color rgb="00898781"/>
      <sz val="10"/>
    </font>
    <font>
      <name val="Arial"/>
      <b val="1"/>
      <color rgb="0017324D"/>
      <sz val="24"/>
    </font>
    <font>
      <name val="Arial"/>
      <b val="1"/>
      <color rgb="00FFFFFF"/>
      <sz val="14"/>
    </font>
    <font>
      <name val="Arial"/>
      <b val="1"/>
      <color rgb="0017324D"/>
      <sz val="12"/>
    </font>
    <font>
      <name val="Arial"/>
      <color rgb="00898781"/>
      <sz val="10"/>
    </font>
    <font>
      <name val="Arial"/>
      <color rgb="002A78D6"/>
      <sz val="10"/>
      <u val="single"/>
    </font>
  </fonts>
  <fills count="7">
    <fill>
      <patternFill/>
    </fill>
    <fill>
      <patternFill patternType="gray125"/>
    </fill>
    <fill>
      <patternFill patternType="solid">
        <fgColor rgb="0017324D"/>
      </patternFill>
    </fill>
    <fill>
      <patternFill patternType="solid">
        <fgColor rgb="00EAF2FC"/>
      </patternFill>
    </fill>
    <fill>
      <patternFill patternType="solid">
        <fgColor rgb="00F5F6F8"/>
      </patternFill>
    </fill>
    <fill>
      <patternFill patternType="solid">
        <fgColor rgb="00FFFFFF"/>
      </patternFill>
    </fill>
    <fill>
      <patternFill patternType="solid">
        <fgColor rgb="002A78D6"/>
      </patternFill>
    </fill>
  </fills>
  <borders count="11">
    <border>
      <left/>
      <right/>
      <top/>
      <bottom/>
      <diagonal/>
    </border>
    <border>
      <bottom style="thin">
        <color rgb="002A78D6"/>
      </bottom>
    </border>
    <border>
      <left style="thick">
        <color rgb="002A78D6"/>
      </left>
    </border>
    <border>
      <bottom style="medium">
        <color rgb="002A78D6"/>
      </bottom>
    </border>
    <border>
      <bottom style="thin">
        <color rgb="00E1E0D9"/>
      </bottom>
    </border>
    <border>
      <bottom style="thin">
        <color rgb="00FFFFFF"/>
      </bottom>
    </border>
    <border>
      <left style="thick">
        <color rgb="00FFFFFF"/>
      </left>
      <top style="medium">
        <color rgb="002A78D6"/>
      </top>
    </border>
    <border>
      <left style="thick">
        <color rgb="00FFFFFF"/>
      </left>
    </border>
    <border>
      <top style="medium">
        <color rgb="002A78D6"/>
      </top>
    </border>
    <border>
      <bottom style="medium">
        <color rgb="0052514E"/>
      </bottom>
    </border>
    <border>
      <right style="thin">
        <color rgb="002E4A66"/>
      </right>
    </border>
  </borders>
  <cellStyleXfs count="1">
    <xf numFmtId="0" fontId="0" fillId="0" borderId="0"/>
  </cellStyleXfs>
  <cellXfs count="72">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7" fillId="3" borderId="2" applyAlignment="1" pivotButton="0" quotePrefix="0" xfId="0">
      <alignment horizontal="left" vertical="center" wrapText="1" indent="2"/>
    </xf>
    <xf numFmtId="0" fontId="0" fillId="3" borderId="0" pivotButton="0" quotePrefix="0" xfId="0"/>
    <xf numFmtId="0" fontId="11" fillId="0" borderId="3" applyAlignment="1" pivotButton="0" quotePrefix="0" xfId="0">
      <alignment vertical="bottom"/>
    </xf>
    <xf numFmtId="0" fontId="0" fillId="0" borderId="3" pivotButton="0" quotePrefix="0" xfId="0"/>
    <xf numFmtId="0" fontId="0" fillId="4" borderId="0" applyAlignment="1" pivotButton="0" quotePrefix="0" xfId="0">
      <alignment horizontal="left" vertical="center" indent="2"/>
    </xf>
    <xf numFmtId="0" fontId="0" fillId="4" borderId="0" pivotButton="0" quotePrefix="0" xfId="0"/>
    <xf numFmtId="0" fontId="13" fillId="4" borderId="0" applyAlignment="1" pivotButton="0" quotePrefix="0" xfId="0">
      <alignment horizontal="left" vertical="top" wrapText="1" indent="2"/>
    </xf>
    <xf numFmtId="0" fontId="7" fillId="0" borderId="0" applyAlignment="1" pivotButton="0" quotePrefix="0" xfId="0">
      <alignment vertical="top" wrapText="1"/>
    </xf>
    <xf numFmtId="1" fontId="22" fillId="4" borderId="6" applyAlignment="1" pivotButton="0" quotePrefix="0" xfId="0">
      <alignment horizontal="left" vertical="bottom" indent="2"/>
    </xf>
    <xf numFmtId="0" fontId="0" fillId="4" borderId="8" pivotButton="0" quotePrefix="0" xfId="0"/>
    <xf numFmtId="0" fontId="17" fillId="4" borderId="7" applyAlignment="1" pivotButton="0" quotePrefix="0" xfId="0">
      <alignment horizontal="left" vertical="top" wrapText="1" indent="2"/>
    </xf>
    <xf numFmtId="0" fontId="17" fillId="4" borderId="7" applyAlignment="1" pivotButton="0" quotePrefix="0" xfId="0">
      <alignment horizontal="left" vertical="top" indent="2"/>
    </xf>
    <xf numFmtId="9" fontId="22" fillId="4" borderId="6" applyAlignment="1" pivotButton="0" quotePrefix="0" xfId="0">
      <alignment horizontal="left" vertical="bottom" indent="2"/>
    </xf>
    <xf numFmtId="0" fontId="15" fillId="0" borderId="0" applyAlignment="1" pivotButton="0" quotePrefix="0" xfId="0">
      <alignment vertical="top"/>
    </xf>
    <xf numFmtId="0" fontId="10" fillId="3" borderId="2" applyAlignment="1" pivotButton="0" quotePrefix="0" xfId="0">
      <alignment horizontal="left" vertical="center" indent="2"/>
    </xf>
    <xf numFmtId="0" fontId="23" fillId="2" borderId="0" applyAlignment="1" pivotButton="0" quotePrefix="0" xfId="0">
      <alignment horizontal="center" vertical="center" wrapText="1"/>
    </xf>
    <xf numFmtId="0" fontId="24" fillId="0" borderId="0" applyAlignment="1" pivotButton="0" quotePrefix="0" xfId="0">
      <alignment horizontal="left" vertical="center" indent="2"/>
    </xf>
    <xf numFmtId="0" fontId="13" fillId="0" borderId="0" applyAlignment="1" pivotButton="0" quotePrefix="0" xfId="0">
      <alignment horizontal="left" vertical="top" indent="1"/>
    </xf>
    <xf numFmtId="0" fontId="7" fillId="0" borderId="0" applyAlignment="1" pivotButton="0" quotePrefix="0" xfId="0">
      <alignment horizontal="left" vertical="top" indent="1"/>
    </xf>
    <xf numFmtId="0" fontId="25" fillId="0" borderId="0" applyAlignment="1" pivotButton="0" quotePrefix="0" xfId="0">
      <alignment horizontal="left" vertical="top" indent="3"/>
    </xf>
    <xf numFmtId="0" fontId="25" fillId="0" borderId="0" applyAlignment="1" pivotButton="0" quotePrefix="0" xfId="0">
      <alignment horizontal="left" vertical="top" wrapText="1" indent="3"/>
    </xf>
    <xf numFmtId="0" fontId="13" fillId="0" borderId="0" applyAlignment="1" pivotButton="0" quotePrefix="0" xfId="0">
      <alignment horizontal="left" vertical="top" wrapText="1" indent="1"/>
    </xf>
    <xf numFmtId="0" fontId="14" fillId="0" borderId="4" applyAlignment="1" pivotButton="0" quotePrefix="0" xfId="0">
      <alignment horizontal="left" vertical="center" indent="1"/>
    </xf>
    <xf numFmtId="0" fontId="0" fillId="0" borderId="4" pivotButton="0" quotePrefix="0" xfId="0"/>
    <xf numFmtId="0" fontId="13" fillId="0" borderId="4" applyAlignment="1" pivotButton="0" quotePrefix="0" xfId="0">
      <alignment vertical="center"/>
    </xf>
    <xf numFmtId="0" fontId="14" fillId="0" borderId="0" pivotButton="0" quotePrefix="0" xfId="0"/>
    <xf numFmtId="0" fontId="26" fillId="0" borderId="0" applyAlignment="1" pivotButton="0" quotePrefix="0" xfId="0">
      <alignment horizontal="right"/>
    </xf>
    <xf numFmtId="0" fontId="3" fillId="3" borderId="0" applyAlignment="1" pivotButton="0" quotePrefix="0" xfId="0">
      <alignment horizontal="center" vertical="center" wrapText="1"/>
    </xf>
    <xf numFmtId="0" fontId="4" fillId="2" borderId="0" applyAlignment="1" pivotButton="0" quotePrefix="0" xfId="0">
      <alignment horizontal="left" vertical="center" indent="1"/>
    </xf>
    <xf numFmtId="0" fontId="5" fillId="0" borderId="1" applyAlignment="1" pivotButton="0" quotePrefix="0" xfId="0">
      <alignment horizontal="left" vertical="bottom" indent="1"/>
    </xf>
    <xf numFmtId="0" fontId="0" fillId="0" borderId="1" pivotButton="0" quotePrefix="0" xfId="0"/>
    <xf numFmtId="0" fontId="6" fillId="4" borderId="0" applyAlignment="1" pivotButton="0" quotePrefix="0" xfId="0">
      <alignment horizontal="left" vertical="top" wrapText="1" indent="1"/>
    </xf>
    <xf numFmtId="0" fontId="7" fillId="4" borderId="0" applyAlignment="1" pivotButton="0" quotePrefix="0" xfId="0">
      <alignment vertical="top" wrapText="1"/>
    </xf>
    <xf numFmtId="0" fontId="8" fillId="4" borderId="0" applyAlignment="1" pivotButton="0" quotePrefix="0" xfId="0">
      <alignment horizontal="left" vertical="top" indent="1"/>
    </xf>
    <xf numFmtId="0" fontId="6" fillId="5" borderId="0" applyAlignment="1" pivotButton="0" quotePrefix="0" xfId="0">
      <alignment horizontal="left" vertical="top" wrapText="1" indent="1"/>
    </xf>
    <xf numFmtId="0" fontId="7" fillId="5" borderId="0" applyAlignment="1" pivotButton="0" quotePrefix="0" xfId="0">
      <alignment vertical="top" wrapText="1"/>
    </xf>
    <xf numFmtId="0" fontId="8" fillId="5" borderId="0" applyAlignment="1" pivotButton="0" quotePrefix="0" xfId="0">
      <alignment horizontal="left" vertical="top" indent="1"/>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12" fillId="6" borderId="0" applyAlignment="1" pivotButton="0" quotePrefix="0" xfId="0">
      <alignment horizontal="center" vertical="center" wrapText="1"/>
    </xf>
    <xf numFmtId="0" fontId="7" fillId="0" borderId="4" applyAlignment="1" pivotButton="0" quotePrefix="0" xfId="0">
      <alignment horizontal="left" vertical="center" indent="1"/>
    </xf>
    <xf numFmtId="0" fontId="7" fillId="0" borderId="4" applyAlignment="1" pivotButton="0" quotePrefix="0" xfId="0">
      <alignment horizontal="left" vertical="center" wrapText="1" indent="1"/>
    </xf>
    <xf numFmtId="0" fontId="13" fillId="0" borderId="0" applyAlignment="1" pivotButton="0" quotePrefix="0" xfId="0">
      <alignment vertical="top" wrapText="1"/>
    </xf>
    <xf numFmtId="0" fontId="0" fillId="4" borderId="5" applyAlignment="1" pivotButton="0" quotePrefix="0" xfId="0">
      <alignment horizontal="left" vertical="center" indent="1"/>
    </xf>
    <xf numFmtId="0" fontId="13" fillId="4" borderId="5" applyAlignment="1" pivotButton="0" quotePrefix="0" xfId="0">
      <alignment horizontal="left" vertical="center" indent="2"/>
    </xf>
    <xf numFmtId="0" fontId="0" fillId="4" borderId="5" pivotButton="0" quotePrefix="0" xfId="0"/>
    <xf numFmtId="0" fontId="7" fillId="0" borderId="0" applyAlignment="1" pivotButton="0" quotePrefix="0" xfId="0">
      <alignment horizontal="left" vertical="top" wrapText="1" indent="1"/>
    </xf>
    <xf numFmtId="9" fontId="16" fillId="4" borderId="6" applyAlignment="1" pivotButton="0" quotePrefix="0" xfId="0">
      <alignment horizontal="left" vertical="bottom" indent="2"/>
    </xf>
    <xf numFmtId="0" fontId="17" fillId="0" borderId="9" applyAlignment="1" pivotButton="0" quotePrefix="0" xfId="0">
      <alignment horizontal="left" vertical="center" indent="1"/>
    </xf>
    <xf numFmtId="0" fontId="17" fillId="0" borderId="9" applyAlignment="1" pivotButton="0" quotePrefix="0" xfId="0">
      <alignment horizontal="right" vertical="center"/>
    </xf>
    <xf numFmtId="9" fontId="7" fillId="0" borderId="4" applyAlignment="1" pivotButton="0" quotePrefix="0" xfId="0">
      <alignment horizontal="right" vertical="center"/>
    </xf>
    <xf numFmtId="9" fontId="18" fillId="0" borderId="4" applyAlignment="1" pivotButton="0" quotePrefix="0" xfId="0">
      <alignment horizontal="right" vertical="center"/>
    </xf>
    <xf numFmtId="0" fontId="19" fillId="0" borderId="0" applyAlignment="1" pivotButton="0" quotePrefix="0" xfId="0">
      <alignment horizontal="left" vertical="top" indent="1"/>
    </xf>
    <xf numFmtId="0" fontId="13" fillId="0" borderId="0" applyAlignment="1" pivotButton="0" quotePrefix="0" xfId="0">
      <alignment vertical="center"/>
    </xf>
    <xf numFmtId="0" fontId="4" fillId="2" borderId="10" applyAlignment="1" pivotButton="0" quotePrefix="0" xfId="0">
      <alignment horizontal="left" vertical="center" indent="2"/>
    </xf>
    <xf numFmtId="0" fontId="4" fillId="2" borderId="10" applyAlignment="1" pivotButton="0" quotePrefix="0" xfId="0">
      <alignment horizontal="center" vertical="center" wrapText="1"/>
    </xf>
    <xf numFmtId="0" fontId="20" fillId="4" borderId="4" applyAlignment="1" pivotButton="0" quotePrefix="0" xfId="0">
      <alignment horizontal="left" vertical="center" indent="2"/>
    </xf>
    <xf numFmtId="0" fontId="20" fillId="4" borderId="4" applyAlignment="1" pivotButton="0" quotePrefix="0" xfId="0">
      <alignment horizontal="center" vertical="center"/>
    </xf>
    <xf numFmtId="164" fontId="21" fillId="4" borderId="4" applyAlignment="1" pivotButton="0" quotePrefix="0" xfId="0">
      <alignment horizontal="center" vertical="center"/>
    </xf>
    <xf numFmtId="0" fontId="21" fillId="4" borderId="4" applyAlignment="1" pivotButton="0" quotePrefix="0" xfId="0">
      <alignment horizontal="center" vertical="center"/>
    </xf>
    <xf numFmtId="0" fontId="7" fillId="0" borderId="4" applyAlignment="1" pivotButton="0" quotePrefix="0" xfId="0">
      <alignment horizontal="left" vertical="center" indent="2"/>
    </xf>
    <xf numFmtId="0" fontId="7" fillId="0" borderId="4" applyAlignment="1" pivotButton="0" quotePrefix="0" xfId="0">
      <alignment horizontal="center" vertical="center"/>
    </xf>
    <xf numFmtId="164" fontId="18" fillId="0" borderId="4" applyAlignment="1" pivotButton="0" quotePrefix="0" xfId="0">
      <alignment horizontal="center" vertical="center"/>
    </xf>
    <xf numFmtId="0" fontId="18" fillId="0" borderId="4" applyAlignment="1" pivotButton="0" quotePrefix="0" xfId="0">
      <alignment horizontal="center" vertical="center"/>
    </xf>
    <xf numFmtId="0" fontId="13" fillId="0" borderId="0" applyAlignment="1" pivotButton="0" quotePrefix="0" xfId="0">
      <alignment vertical="center" wrapText="1"/>
    </xf>
    <xf numFmtId="0" fontId="18" fillId="0" borderId="4" applyAlignment="1" pivotButton="0" quotePrefix="0" xfId="0">
      <alignment horizontal="left" vertical="center" wrapText="1" indent="1"/>
    </xf>
    <xf numFmtId="0" fontId="9" fillId="0" borderId="4" applyAlignment="1" pivotButton="0" quotePrefix="0" xfId="0">
      <alignment vertical="center"/>
    </xf>
  </cellXfs>
  <cellStyles count="1">
    <cellStyle name="Normal" xfId="0" builtinId="0" hidden="0"/>
  </cellStyles>
  <dxfs count="4">
    <dxf>
      <font>
        <name val="Arial"/>
        <b val="1"/>
        <color rgb="00A32424"/>
      </font>
      <fill>
        <patternFill patternType="solid">
          <fgColor rgb="00FBE4E4"/>
        </patternFill>
      </fill>
    </dxf>
    <dxf>
      <font>
        <name val="Arial"/>
        <b val="1"/>
        <color rgb="008A5A00"/>
      </font>
      <fill>
        <patternFill patternType="solid">
          <fgColor rgb="00FFF3D6"/>
        </patternFill>
      </fill>
    </dxf>
    <dxf>
      <font>
        <name val="Arial"/>
        <b val="1"/>
        <color rgb="000B6B0B"/>
      </font>
      <fill>
        <patternFill patternType="solid">
          <fgColor rgb="00E3F4E3"/>
        </patternFill>
      </fill>
    </dxf>
    <dxf>
      <font>
        <name val="Arial"/>
        <b val="1"/>
        <color rgb="0052514E"/>
      </font>
      <fill>
        <patternFill patternType="solid">
          <fgColor rgb="00EEEE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plotArea>
      <barChart>
        <barDir val="bar"/>
        <grouping val="clustered"/>
        <ser>
          <idx val="0"/>
          <order val="0"/>
          <tx>
            <strRef>
              <f>'Common Attack Vectors'!C31</f>
            </strRef>
          </tx>
          <spPr>
            <a:solidFill xmlns:a="http://schemas.openxmlformats.org/drawingml/2006/main">
              <a:srgbClr val="2A78D6"/>
            </a:solidFill>
            <a:ln xmlns:a="http://schemas.openxmlformats.org/drawingml/2006/main" w="12700">
              <a:solidFill>
                <a:srgbClr val="FFFFFF"/>
              </a:solidFill>
              <a:prstDash val="solid"/>
            </a:ln>
          </spPr>
          <cat>
            <numRef>
              <f>'Common Attack Vectors'!$B$32:$B$34</f>
            </numRef>
          </cat>
          <val>
            <numRef>
              <f>'Common Attack Vectors'!$C$32:$C$34</f>
            </numRef>
          </val>
        </ser>
        <ser>
          <idx val="1"/>
          <order val="1"/>
          <tx>
            <strRef>
              <f>'Common Attack Vectors'!D31</f>
            </strRef>
          </tx>
          <spPr>
            <a:solidFill xmlns:a="http://schemas.openxmlformats.org/drawingml/2006/main">
              <a:srgbClr val="EB6834"/>
            </a:solidFill>
            <a:ln xmlns:a="http://schemas.openxmlformats.org/drawingml/2006/main" w="12700">
              <a:solidFill>
                <a:srgbClr val="FFFFFF"/>
              </a:solidFill>
              <a:prstDash val="solid"/>
            </a:ln>
          </spPr>
          <cat>
            <numRef>
              <f>'Common Attack Vectors'!$B$32:$B$34</f>
            </numRef>
          </cat>
          <val>
            <numRef>
              <f>'Common Attack Vectors'!$D$32:$D$34</f>
            </numRef>
          </val>
        </ser>
        <gapWidth val="60"/>
        <overlap val="-8"/>
        <axId val="10"/>
        <axId val="100"/>
      </barChart>
      <catAx>
        <axId val="10"/>
        <scaling>
          <orientation val="maxMin"/>
        </scaling>
        <delete val="0"/>
        <axPos val="l"/>
        <majorTickMark val="none"/>
        <minorTickMark val="none"/>
        <spPr>
          <a:ln xmlns:a="http://schemas.openxmlformats.org/drawingml/2006/main">
            <a:solidFill>
              <a:srgbClr val="E1E0D9"/>
            </a:solidFill>
            <a:prstDash val="solid"/>
          </a:ln>
        </spPr>
        <crossAx val="100"/>
        <lblOffset val="100"/>
      </catAx>
      <valAx>
        <axId val="100"/>
        <scaling>
          <orientation val="minMax"/>
          <min val="0"/>
        </scaling>
        <delete val="0"/>
        <axPos val="l"/>
        <majorGridlines>
          <spPr>
            <a:ln xmlns:a="http://schemas.openxmlformats.org/drawingml/2006/main">
              <a:solidFill>
                <a:srgbClr val="E1E0D9"/>
              </a:solidFill>
              <a:prstDash val="solid"/>
            </a:ln>
          </spPr>
        </majorGridlines>
        <numFmt formatCode="0%" sourceLinked="0"/>
        <majorTickMark val="none"/>
        <minorTickMark val="none"/>
        <spPr>
          <a:ln xmlns:a="http://schemas.openxmlformats.org/drawingml/2006/main">
            <a:noFill/>
            <a:prstDash val="solid"/>
          </a:ln>
        </spPr>
        <crossAx val="10"/>
        <crosses val="max"/>
      </valAx>
    </plotArea>
    <legend>
      <legendPos val="b"/>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style val="2"/>
  <chart>
    <plotArea>
      <barChart>
        <barDir val="bar"/>
        <grouping val="clustered"/>
        <ser>
          <idx val="0"/>
          <order val="0"/>
          <tx>
            <strRef>
              <f>'Common Attack Vectors'!C44</f>
            </strRef>
          </tx>
          <spPr>
            <a:solidFill xmlns:a="http://schemas.openxmlformats.org/drawingml/2006/main">
              <a:srgbClr val="2A78D6"/>
            </a:solidFill>
            <a:ln xmlns:a="http://schemas.openxmlformats.org/drawingml/2006/main" w="12700">
              <a:solidFill>
                <a:srgbClr val="FFFFFF"/>
              </a:solidFill>
              <a:prstDash val="solid"/>
            </a:ln>
          </spPr>
          <cat>
            <numRef>
              <f>'Common Attack Vectors'!$B$45:$B$47</f>
            </numRef>
          </cat>
          <val>
            <numRef>
              <f>'Common Attack Vectors'!$C$45:$C$47</f>
            </numRef>
          </val>
        </ser>
        <ser>
          <idx val="1"/>
          <order val="1"/>
          <tx>
            <strRef>
              <f>'Common Attack Vectors'!D44</f>
            </strRef>
          </tx>
          <spPr>
            <a:solidFill xmlns:a="http://schemas.openxmlformats.org/drawingml/2006/main">
              <a:srgbClr val="EB6834"/>
            </a:solidFill>
            <a:ln xmlns:a="http://schemas.openxmlformats.org/drawingml/2006/main" w="12700">
              <a:solidFill>
                <a:srgbClr val="FFFFFF"/>
              </a:solidFill>
              <a:prstDash val="solid"/>
            </a:ln>
          </spPr>
          <cat>
            <numRef>
              <f>'Common Attack Vectors'!$B$45:$B$47</f>
            </numRef>
          </cat>
          <val>
            <numRef>
              <f>'Common Attack Vectors'!$D$45:$D$47</f>
            </numRef>
          </val>
        </ser>
        <gapWidth val="60"/>
        <overlap val="-8"/>
        <axId val="10"/>
        <axId val="100"/>
      </barChart>
      <catAx>
        <axId val="10"/>
        <scaling>
          <orientation val="maxMin"/>
        </scaling>
        <delete val="0"/>
        <axPos val="l"/>
        <majorTickMark val="none"/>
        <minorTickMark val="none"/>
        <spPr>
          <a:ln xmlns:a="http://schemas.openxmlformats.org/drawingml/2006/main">
            <a:solidFill>
              <a:srgbClr val="E1E0D9"/>
            </a:solidFill>
            <a:prstDash val="solid"/>
          </a:ln>
        </spPr>
        <crossAx val="100"/>
        <lblOffset val="100"/>
      </catAx>
      <valAx>
        <axId val="100"/>
        <scaling>
          <orientation val="minMax"/>
          <min val="0"/>
        </scaling>
        <delete val="0"/>
        <axPos val="l"/>
        <majorGridlines>
          <spPr>
            <a:ln xmlns:a="http://schemas.openxmlformats.org/drawingml/2006/main">
              <a:solidFill>
                <a:srgbClr val="E1E0D9"/>
              </a:solidFill>
              <a:prstDash val="solid"/>
            </a:ln>
          </spPr>
        </majorGridlines>
        <numFmt formatCode="0%" sourceLinked="0"/>
        <majorTickMark val="none"/>
        <minorTickMark val="none"/>
        <spPr>
          <a:ln xmlns:a="http://schemas.openxmlformats.org/drawingml/2006/main">
            <a:noFill/>
            <a:prstDash val="solid"/>
          </a:ln>
        </spPr>
        <crossAx val="10"/>
        <crosses val="max"/>
      </valAx>
    </plotArea>
    <legend>
      <legendPos val="b"/>
    </legend>
    <plotVisOnly val="1"/>
    <dispBlanksAs val="gap"/>
  </chart>
  <spPr>
    <a:ln xmlns:a="http://schemas.openxmlformats.org/drawingml/2006/main">
      <a:noFill/>
      <a:prstDash val="solid"/>
    </a:ln>
  </spPr>
</chartSpace>
</file>

<file path=xl/comments/comment1.xml><?xml version="1.0" encoding="utf-8"?>
<comments xmlns="http://schemas.openxmlformats.org/spreadsheetml/2006/main">
  <authors>
    <author>FNIT Guy</author>
  </authors>
  <commentList>
    <comment ref="B6" authorId="0" shapeId="0">
      <text>
        <t>Order this by security category.</t>
      </text>
    </comment>
    <comment ref="C6" authorId="0" shapeId="0">
      <text>
        <t>How bad would it be if this device were compromised?  Low / Moderate / High.</t>
      </text>
    </comment>
    <comment ref="D6" authorId="0" shapeId="0">
      <text>
        <t>Any sign of malware? Unexpected pop-ups, slowness, unknown apps. “Maybe” = worth a scan.</t>
      </text>
    </comment>
    <comment ref="E6" authorId="0" shapeId="0">
      <text>
        <t>Is the important data on this device backed up somewhere else?</t>
      </text>
    </comment>
    <comment ref="J6" authorId="0" shapeId="0">
      <text>
        <t>Has this device been hardened to its STIG (Security Technical Implementation Guide) or the vendor’s security baseline?
Find STIGs: https://www.cyber.mil/stigs/downloads/</t>
      </text>
    </comment>
    <comment ref="K6" authorId="0" shapeId="0">
      <text>
        <t>Could someone walk off with it or plug into it? Locked room, cable lock, screen lock.</t>
      </text>
    </comment>
    <comment ref="M6" authorId="0" shapeId="0">
      <text>
        <t>Does the vendor still ship security updates for it? End-of-life devices (old phones, routers, Windows versions) never get patched again – plan to replace them.</t>
      </text>
    </comment>
    <comment ref="N6" authorId="0" shapeId="0">
      <text>
        <t>Counted automatically: every red answer in the row is one gap.</t>
      </text>
    </comment>
    <comment ref="O6" authorId="0" shapeId="0">
      <text>
        <t>Fix first = High category with gaps.  Fix next = Moderate.  Later = Low.  Done = no gaps.  Sort or filter this column to see what to tackle first.</t>
      </text>
    </comment>
  </commentList>
</comments>
</file>

<file path=xl/comments/comment2.xml><?xml version="1.0" encoding="utf-8"?>
<comments xmlns="http://schemas.openxmlformats.org/spreadsheetml/2006/main">
  <authors>
    <author>FNIT Guy</author>
  </authors>
  <commentList>
    <comment ref="B6" authorId="0" shapeId="0">
      <text>
        <t>Order this by security category. Start with email – it can reset every other password.</t>
      </text>
    </comment>
    <comment ref="C6" authorId="0" shapeId="0">
      <text>
        <t>How bad would it be if this account were taken over?  Low / Moderate / High.</t>
      </text>
    </comment>
    <comment ref="D6" authorId="0" shapeId="0">
      <text>
        <t>Used nowhere else. A password manager makes this painless.</t>
      </text>
    </comment>
    <comment ref="F6" authorId="0" shapeId="0">
      <text>
        <t>Multi-factor authentication: a second step (authenticator app, security key, text code) on top of your password. A passkey counts as Yes.</t>
      </text>
    </comment>
    <comment ref="G6" authorId="0" shapeId="0">
      <text>
        <t>Recovery email/phone up to date, security questions not guessable, unused sessions signed out, login alerts on.</t>
      </text>
    </comment>
    <comment ref="I6" authorId="0" shapeId="0">
      <text>
        <t>Check your email address at https://haveibeenpwned.com. If it shows up in a breach, change that password everywhere you used it.</t>
      </text>
    </comment>
    <comment ref="J6" authorId="0" shapeId="0">
      <text>
        <t>Counted automatically: every red answer in the row is one gap.</t>
      </text>
    </comment>
    <comment ref="K6" authorId="0" shapeId="0">
      <text>
        <t>Fix first = High category with gaps.  Fix next = Moderate.  Later = Low.  Done = no gaps.  Sort or filter this column to see what to tackle first.</t>
      </text>
    </comment>
  </commentList>
</comments>
</file>

<file path=xl/comments/comment3.xml><?xml version="1.0" encoding="utf-8"?>
<comments xmlns="http://schemas.openxmlformats.org/spreadsheetml/2006/main">
  <authors>
    <author>FNIT Guy</author>
  </authors>
  <commentList>
    <comment ref="B6" authorId="0" shapeId="0">
      <text>
        <t>Order this by security category. Include browser extensions – they can see everything you do online.</t>
      </text>
    </comment>
    <comment ref="E6" authorId="0" shapeId="0">
      <text>
        <t>Installed from the official app store or the vendor’s own site, not a random download.</t>
      </text>
    </comment>
    <comment ref="F6" authorId="0" shapeId="0">
      <text>
        <t>Location, camera, microphone, contacts – only if the app truly needs them.</t>
      </text>
    </comment>
    <comment ref="G6" authorId="0" shapeId="0">
      <text>
        <t>If the app has its own account: unique password plus MFA or a passkey. N/A if it has no login.</t>
      </text>
    </comment>
    <comment ref="H6" authorId="0" shapeId="0">
      <text>
        <t>No? Delete it. Unused apps are attack surface with no benefit.</t>
      </text>
    </comment>
    <comment ref="I6" authorId="0" shapeId="0">
      <text>
        <t>Counted automatically: every red answer in the row is one gap.</t>
      </text>
    </comment>
    <comment ref="J6" authorId="0" shapeId="0">
      <text>
        <t>Fix first = High category with gaps.  Fix next = Moderate.  Later = Low.  Done = no gaps.  Sort or filter this column to see what to tackle first.</t>
      </text>
    </comment>
  </commentList>
</comments>
</file>

<file path=xl/comments/comment4.xml><?xml version="1.0" encoding="utf-8"?>
<comments xmlns="http://schemas.openxmlformats.org/spreadsheetml/2006/main">
  <authors>
    <author>FNIT Guy</author>
  </authors>
  <commentList>
    <comment ref="B6" authorId="0" shapeId="0">
      <text>
        <t>Order this by security category.</t>
      </text>
    </comment>
    <comment ref="D6" authorId="0" shapeId="0">
      <text>
        <t>Device, cloud service or physical location (type it in).</t>
      </text>
    </comment>
    <comment ref="F6" authorId="0" shapeId="0">
      <text>
        <t>At least one backup that isn’t on the same device – an external drive kept elsewhere or a cloud backup. Ransomware and dead drives take out local copies.</t>
      </text>
    </comment>
    <comment ref="G6" authorId="0" shapeId="0">
      <text>
        <t>Have you actually restored a file from the backup? An untested backup is a hope, not a plan.</t>
      </text>
    </comment>
    <comment ref="H6" authorId="0" shapeId="0">
      <text>
        <t>Stored on an encrypted device or in an encrypted service/vault.</t>
      </text>
    </comment>
    <comment ref="I6" authorId="0" shapeId="0">
      <text>
        <t>Only the people who need it can open it. Shared links and old family accounts count.</t>
      </text>
    </comment>
    <comment ref="J6" authorId="0" shapeId="0">
      <text>
        <t>Counted automatically: every red answer in the row is one gap.</t>
      </text>
    </comment>
    <comment ref="K6" authorId="0" shapeId="0">
      <text>
        <t>Fix first = High category with gaps.  Fix next = Moderate.  Later = Low.  Done = no gaps.  Sort or filter this column to see what to tackle first.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29</row>
      <rowOff>0</rowOff>
    </from>
    <ext cx="52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42</row>
      <rowOff>0</rowOff>
    </from>
    <ext cx="522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outu.be/1WyiLTxV6YI" TargetMode="External" Id="rId1"/><Relationship Type="http://schemas.openxmlformats.org/officeDocument/2006/relationships/hyperlink" Target="https://www.fnitguy.tech" TargetMode="External" Id="rId2"/></Relationships>
</file>

<file path=xl/worksheets/_rels/sheet2.xml.rels><Relationships xmlns="http://schemas.openxmlformats.org/package/2006/relationships"><Relationship Type="http://schemas.openxmlformats.org/officeDocument/2006/relationships/hyperlink" Target="https://nvlpubs.nist.gov/nistpubs/ir/2013/nist.ir.7298r2.pdf" TargetMode="External" Id="rId1"/></Relationships>
</file>

<file path=xl/worksheets/_rels/sheet4.xml.rels><Relationships xmlns="http://schemas.openxmlformats.org/package/2006/relationships"><Relationship Type="http://schemas.openxmlformats.org/officeDocument/2006/relationships/hyperlink" Target="https://www.verizon.com/business/resources/reports/2026-dbir-data-breach-investigations-report.pdf"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hyperlink" Target="https://www.verizon.com/business/resources/reports/2026-dbir-data-breach-investigations-report.pdf" TargetMode="External" Id="rId1"/><Relationship Type="http://schemas.openxmlformats.org/officeDocument/2006/relationships/hyperlink" Target="https://www.verizon.com/business/resources/executivebriefs/2026-dbir-executive-summary.pdf" TargetMode="External" Id="rId2"/><Relationship Type="http://schemas.openxmlformats.org/officeDocument/2006/relationships/hyperlink" Target="https://www.verizon.com/business/resources/reports/dbir/" TargetMode="External" Id="rId3"/><Relationship Type="http://schemas.openxmlformats.org/officeDocument/2006/relationships/hyperlink" Target="https://www.cisa.gov/secure-our-world" TargetMode="External" Id="rId4"/><Relationship Type="http://schemas.openxmlformats.org/officeDocument/2006/relationships/hyperlink" Target="https://www.cisa.gov/secure-our-world/use-strong-passwords" TargetMode="External" Id="rId5"/><Relationship Type="http://schemas.openxmlformats.org/officeDocument/2006/relationships/hyperlink" Target="https://fidoalliance.org/passkeys/" TargetMode="External" Id="rId6"/><Relationship Type="http://schemas.openxmlformats.org/officeDocument/2006/relationships/hyperlink" Target="https://haveibeenpwned.com/" TargetMode="External" Id="rId7"/><Relationship Type="http://schemas.openxmlformats.org/officeDocument/2006/relationships/hyperlink" Target="https://nvlpubs.nist.gov/nistpubs/ir/2013/nist.ir.7298r2.pdf" TargetMode="External" Id="rId8"/><Relationship Type="http://schemas.openxmlformats.org/officeDocument/2006/relationships/hyperlink" Target="https://csrc.nist.gov/pubs/sp/800/53/r5/upd1/final" TargetMode="External" Id="rId9"/><Relationship Type="http://schemas.openxmlformats.org/officeDocument/2006/relationships/hyperlink" Target="https://www.iso.org/obp/ui/#iso:std:iso:31000:ed-2:v1:en" TargetMode="External" Id="rId10"/><Relationship Type="http://schemas.openxmlformats.org/officeDocument/2006/relationships/hyperlink" Target="https://www.cyber.mil/stigs/downloads/" TargetMode="External" Id="rId11"/><Relationship Type="http://schemas.openxmlformats.org/officeDocument/2006/relationships/hyperlink" Target="https://www.cyber.mil/stigs/compilations/" TargetMode="External" Id="rId12"/><Relationship Type="http://schemas.openxmlformats.org/officeDocument/2006/relationships/hyperlink" Target="https://www.stigviewer.com/stigs" TargetMode="External" Id="rId13"/><Relationship Type="http://schemas.openxmlformats.org/officeDocument/2006/relationships/hyperlink" Target="https://arstechnica.com/information-technology/2017/07/how-i-learned-to-stop-worrying-mostly-and-love-my-threat-model/" TargetMode="External" Id="rId14"/><Relationship Type="http://schemas.openxmlformats.org/officeDocument/2006/relationships/hyperlink" Target="https://www.verizon.com/business/resources/reports/2022/dbir/2022-data-breach-investigations-report-dbir.pdf" TargetMode="External" Id="rId15"/><Relationship Type="http://schemas.openxmlformats.org/officeDocument/2006/relationships/hyperlink" Target="https://www.kroll.com/en/insights/publications/cyber/q1-2022-threat-landscape-threat-actors-target-email-access-extortion" TargetMode="External" Id="rId16"/><Relationship Type="http://schemas.openxmlformats.org/officeDocument/2006/relationships/hyperlink" Target="https://media.kasperskycontenthub.com/wp-content/uploads/sites/43/2021/09/13085018/Incident-Response-Analyst-Report-eng-2021.pdf" TargetMode="External" Id="rId17"/><Relationship Type="http://schemas.openxmlformats.org/officeDocument/2006/relationships/hyperlink" Target="https://media.kasperskycontenthub.com/wp-content/uploads/sites/43/2022/09/02120838/Kaspersky-The-nature-of-cyber-incidents_v11-1.pdf" TargetMode="External" Id="rId18"/></Relationships>
</file>

<file path=xl/worksheets/sheet1.xml><?xml version="1.0" encoding="utf-8"?>
<worksheet xmlns="http://schemas.openxmlformats.org/spreadsheetml/2006/main">
  <sheetPr>
    <tabColor rgb="0017324D"/>
    <outlinePr summaryBelow="1" summaryRight="1"/>
    <pageSetUpPr fitToPage="1"/>
  </sheetPr>
  <dimension ref="A1:H69"/>
  <sheetViews>
    <sheetView showGridLines="0" zoomScale="100" workbookViewId="0">
      <selection activeCell="A1" sqref="A1"/>
    </sheetView>
  </sheetViews>
  <sheetFormatPr baseColWidth="8" defaultRowHeight="15"/>
  <cols>
    <col width="2.5" customWidth="1" min="1" max="1"/>
    <col width="17" customWidth="1" min="2" max="2"/>
    <col width="17" customWidth="1" min="3" max="3"/>
    <col width="17" customWidth="1" min="4" max="4"/>
    <col width="17" customWidth="1" min="5" max="5"/>
    <col width="17" customWidth="1" min="6" max="6"/>
    <col width="17" customWidth="1" min="7" max="7"/>
    <col width="2.5" customWidth="1" min="8" max="8"/>
  </cols>
  <sheetData>
    <row r="1" ht="10" customHeight="1">
      <c r="A1" s="1" t="n"/>
      <c r="B1" s="1" t="n"/>
      <c r="C1" s="1" t="n"/>
      <c r="D1" s="1" t="n"/>
      <c r="E1" s="1" t="n"/>
      <c r="F1" s="1" t="n"/>
      <c r="G1" s="1" t="n"/>
      <c r="H1" s="1" t="n"/>
    </row>
    <row r="2" ht="34" customHeight="1">
      <c r="A2" s="1" t="n"/>
      <c r="B2" s="2" t="inlineStr">
        <is>
          <t>Threat Modeling + Risk Management Framework</t>
        </is>
      </c>
      <c r="C2" s="1" t="n"/>
      <c r="D2" s="1" t="n"/>
      <c r="E2" s="1" t="n"/>
      <c r="F2" s="1" t="n"/>
      <c r="G2" s="1" t="n"/>
      <c r="H2" s="1" t="n"/>
    </row>
    <row r="3" ht="20" customHeight="1">
      <c r="A3" s="1" t="n"/>
      <c r="B3" s="3" t="inlineStr">
        <is>
          <t>Asset &amp; Mitigation Checklist  ·  FNIT Guy, your Friendly Neighborhood IT Guy  ·  2026 edition</t>
        </is>
      </c>
      <c r="C3" s="1" t="n"/>
      <c r="D3" s="1" t="n"/>
      <c r="E3" s="1" t="n"/>
      <c r="F3" s="1" t="n"/>
      <c r="G3" s="1" t="n"/>
      <c r="H3" s="1" t="n"/>
    </row>
    <row r="4" ht="12" customHeight="1">
      <c r="A4" s="1" t="n"/>
      <c r="B4" s="1" t="n"/>
      <c r="C4" s="1" t="n"/>
      <c r="D4" s="1" t="n"/>
      <c r="E4" s="1" t="n"/>
      <c r="F4" s="1" t="n"/>
      <c r="G4" s="1" t="n"/>
      <c r="H4" s="1" t="n"/>
    </row>
    <row r="5" ht="12" customHeight="1"/>
    <row r="6" ht="72.8" customHeight="1">
      <c r="B6" s="4" t="inlineStr">
        <is>
          <t>In this sheet, you’ll find a succinct reference to assist you in protecting what’s important to you. This isn’t meant to be comprehensive but to act as a launching pad and foundation for your own research. You’ll see in some of the tabs there is a column labeled “STIG” AKA Security Technical Implementation Guide. This is where you’ll find very specific hardening guidance for your specific application or device. You’ll see a link listed in the comments for those columns, use them!</t>
        </is>
      </c>
      <c r="C6" s="5" t="n"/>
      <c r="D6" s="5" t="n"/>
      <c r="E6" s="5" t="n"/>
      <c r="F6" s="5" t="n"/>
      <c r="G6" s="5" t="n"/>
    </row>
    <row r="7" ht="14" customHeight="1"/>
    <row r="8" ht="26" customHeight="1">
      <c r="B8" s="6" t="inlineStr">
        <is>
          <t>How to use this workbook</t>
        </is>
      </c>
      <c r="C8" s="7" t="n"/>
      <c r="D8" s="7" t="n"/>
      <c r="E8" s="7" t="n"/>
      <c r="F8" s="7" t="n"/>
      <c r="G8" s="7" t="n"/>
    </row>
    <row r="9" ht="6" customHeight="1"/>
    <row r="10" ht="26" customHeight="1">
      <c r="B10" s="8" t="inlineStr">
        <is>
          <r>
            <rPr>
              <rFont val="Arial"/>
              <b val="1"/>
              <color rgb="002A78D6"/>
              <sz val="11"/>
            </rPr>
            <t xml:space="preserve">1  </t>
          </r>
          <r>
            <rPr>
              <rFont val="Arial"/>
              <b val="1"/>
              <color rgb="0017324D"/>
              <sz val="11"/>
            </rPr>
            <t>Learn the basics</t>
          </r>
        </is>
      </c>
      <c r="C10" s="9" t="n"/>
      <c r="D10" s="8" t="inlineStr">
        <is>
          <r>
            <rPr>
              <rFont val="Arial"/>
              <b val="1"/>
              <color rgb="002A78D6"/>
              <sz val="11"/>
            </rPr>
            <t xml:space="preserve">2  </t>
          </r>
          <r>
            <rPr>
              <rFont val="Arial"/>
              <b val="1"/>
              <color rgb="0017324D"/>
              <sz val="11"/>
            </rPr>
            <t>Take inventory</t>
          </r>
        </is>
      </c>
      <c r="E10" s="9" t="n"/>
      <c r="F10" s="8" t="inlineStr">
        <is>
          <r>
            <rPr>
              <rFont val="Arial"/>
              <b val="1"/>
              <color rgb="002A78D6"/>
              <sz val="11"/>
            </rPr>
            <t xml:space="preserve">3  </t>
          </r>
          <r>
            <rPr>
              <rFont val="Arial"/>
              <b val="1"/>
              <color rgb="0017324D"/>
              <sz val="11"/>
            </rPr>
            <t>Fix the red</t>
          </r>
        </is>
      </c>
      <c r="G10" s="9" t="n"/>
    </row>
    <row r="11" ht="56.59999999999999" customHeight="1">
      <c r="B11" s="10" t="inlineStr">
        <is>
          <t>Skim Definitions, Reducing Attack Surface and Common Attack Vectors.</t>
        </is>
      </c>
      <c r="C11" s="9" t="n"/>
      <c r="D11" s="10" t="inlineStr">
        <is>
          <t>Fill in Devices, Accounts, Applications and Information. Pick answers from the dropdowns.</t>
        </is>
      </c>
      <c r="E11" s="9" t="n"/>
      <c r="F11" s="10" t="inlineStr">
        <is>
          <t>Every tracker has a Priority column. Knock out “Fix first” items, then work down.</t>
        </is>
      </c>
      <c r="G11" s="9" t="n"/>
    </row>
    <row r="12" ht="6" customHeight="1"/>
    <row r="13" ht="34.4" customHeight="1">
      <c r="B13" s="11" t="inlineStr">
        <is>
          <r>
            <rPr>
              <rFont val="Arial"/>
              <b val="1"/>
              <color rgb="0052514E"/>
              <sz val="10"/>
            </rPr>
            <t xml:space="preserve">Legend:  </t>
          </r>
          <r>
            <rPr>
              <rFont val="Arial"/>
              <color rgb="0052514E"/>
              <sz val="10"/>
            </rPr>
            <t xml:space="preserve">white cells are yours to fill in; gray italic rows are examples.  </t>
          </r>
          <r>
            <rPr>
              <rFont val="Arial"/>
              <b val="1"/>
              <color rgb="000B6B0B"/>
              <sz val="10"/>
            </rPr>
            <t>Green</t>
          </r>
          <r>
            <rPr>
              <rFont val="Arial"/>
              <color rgb="0052514E"/>
              <sz val="10"/>
            </rPr>
            <t xml:space="preserve"> = good  ·  </t>
          </r>
          <r>
            <rPr>
              <rFont val="Arial"/>
              <b val="1"/>
              <color rgb="008A5A00"/>
              <sz val="10"/>
            </rPr>
            <t>Yellow</t>
          </r>
          <r>
            <rPr>
              <rFont val="Arial"/>
              <color rgb="0052514E"/>
              <sz val="10"/>
            </rPr>
            <t xml:space="preserve"> = check it  ·  </t>
          </r>
          <r>
            <rPr>
              <rFont val="Arial"/>
              <b val="1"/>
              <color rgb="00A32424"/>
              <sz val="10"/>
            </rPr>
            <t>Red</t>
          </r>
          <r>
            <rPr>
              <rFont val="Arial"/>
              <color rgb="0052514E"/>
              <sz val="10"/>
            </rPr>
            <t xml:space="preserve"> = gap to fix</t>
          </r>
        </is>
      </c>
    </row>
    <row r="14" ht="14" customHeight="1"/>
    <row r="15" ht="26" customHeight="1">
      <c r="B15" s="6" t="inlineStr">
        <is>
          <t>Your scorecard</t>
        </is>
      </c>
      <c r="C15" s="7" t="n"/>
      <c r="D15" s="7" t="n"/>
      <c r="E15" s="7" t="n"/>
      <c r="F15" s="7" t="n"/>
      <c r="G15" s="7" t="n"/>
    </row>
    <row r="16" ht="6" customHeight="1"/>
    <row r="17" ht="38" customHeight="1">
      <c r="B17" s="12">
        <f>COUNTA('Devices'!B8:B207)+COUNTA('Accounts'!B8:B207)+COUNTA('Applications'!B8:B207)+COUNTA('Information'!B8:B207)</f>
        <v/>
      </c>
      <c r="C17" s="13" t="n"/>
      <c r="D17" s="12">
        <f>SUM('Devices'!N8:N207)+SUM('Accounts'!J8:J207)+SUM('Applications'!I8:I207)+SUM('Information'!J8:J207)</f>
        <v/>
      </c>
      <c r="E17" s="13" t="n"/>
      <c r="F17" s="12">
        <f>COUNTIF('Devices'!O8:O207,"Fix first")+COUNTIF('Accounts'!K8:K207,"Fix first")+COUNTIF('Applications'!J8:J207,"Fix first")+COUNTIF('Information'!K8:K207,"Fix first")</f>
        <v/>
      </c>
      <c r="G17" s="13" t="n"/>
    </row>
    <row r="18" ht="35.56" customHeight="1">
      <c r="B18" s="14" t="inlineStr">
        <is>
          <t>Items tracked across all four checklists</t>
        </is>
      </c>
      <c r="C18" s="9" t="n"/>
      <c r="D18" s="15" t="inlineStr">
        <is>
          <t>Open gaps</t>
        </is>
      </c>
      <c r="E18" s="9" t="n"/>
      <c r="F18" s="14" t="inlineStr">
        <is>
          <t>“Fix first” items (High category with gaps)</t>
        </is>
      </c>
      <c r="G18" s="9" t="n"/>
    </row>
    <row r="19" ht="8" customHeight="1"/>
    <row r="20" ht="38" customHeight="1">
      <c r="B20" s="16">
        <f>IF((COUNTA('Devices'!B8:B207)+COUNTA('Accounts'!B8:B207)+COUNTA('Applications'!B8:B207)+COUNTA('Information'!B8:B207))=0,"–",(COUNTIF('Devices'!O8:O207,"Done")+COUNTIF('Accounts'!K8:K207,"Done")+COUNTIF('Applications'!J8:J207,"Done")+COUNTIF('Information'!K8:K207,"Done"))/(COUNTA('Devices'!B8:B207)+COUNTA('Accounts'!B8:B207)+COUNTA('Applications'!B8:B207)+COUNTA('Information'!B8:B207)))</f>
        <v/>
      </c>
      <c r="C20" s="13" t="n"/>
      <c r="D20" s="16">
        <f>IF(COUNTA('Accounts'!B8:B207)=0,"–",COUNTIF('Accounts'!F8:F207,"Yes")/COUNTA('Accounts'!B8:B207))</f>
        <v/>
      </c>
      <c r="E20" s="13" t="n"/>
      <c r="F20" s="16">
        <f>IF(COUNTA('Information'!B8:B207)=0,"–",COUNTIF('Information'!F8:F207,"Yes")/COUNTA('Information'!B8:B207))</f>
        <v/>
      </c>
      <c r="G20" s="13" t="n"/>
    </row>
    <row r="21" ht="22.78" customHeight="1">
      <c r="B21" s="15" t="inlineStr">
        <is>
          <t>Items fully done (no gaps)</t>
        </is>
      </c>
      <c r="C21" s="9" t="n"/>
      <c r="D21" s="15" t="inlineStr">
        <is>
          <t>Accounts with MFA or passkeys</t>
        </is>
      </c>
      <c r="E21" s="9" t="n"/>
      <c r="F21" s="14" t="inlineStr">
        <is>
          <t>Important info with an off-device backup</t>
        </is>
      </c>
      <c r="G21" s="9" t="n"/>
    </row>
    <row r="22" ht="8" customHeight="1"/>
    <row r="23" ht="16.78" customHeight="1">
      <c r="B23" s="17" t="inlineStr">
        <is>
          <t>Updates automatically as you fill in the checklists (example rows aren’t counted).</t>
        </is>
      </c>
    </row>
    <row r="24" ht="14" customHeight="1"/>
    <row r="25" ht="26" customHeight="1">
      <c r="B25" s="6" t="inlineStr">
        <is>
          <t>First questions</t>
        </is>
      </c>
      <c r="C25" s="7" t="n"/>
      <c r="D25" s="7" t="n"/>
      <c r="E25" s="7" t="n"/>
      <c r="F25" s="7" t="n"/>
      <c r="G25" s="7" t="n"/>
    </row>
    <row r="26" ht="6" customHeight="1"/>
    <row r="27" ht="25.62" customHeight="1">
      <c r="B27" s="18" t="inlineStr">
        <is>
          <t>What do I want to protect?</t>
        </is>
      </c>
      <c r="C27" s="5" t="n"/>
      <c r="D27" s="5" t="n"/>
      <c r="E27" s="5" t="n"/>
      <c r="F27" s="5" t="n"/>
      <c r="G27" s="5" t="n"/>
    </row>
    <row r="28" ht="25.62" customHeight="1">
      <c r="B28" s="18" t="inlineStr">
        <is>
          <t>Who do I want to protect it from?</t>
        </is>
      </c>
      <c r="C28" s="5" t="n"/>
      <c r="D28" s="5" t="n"/>
      <c r="E28" s="5" t="n"/>
      <c r="F28" s="5" t="n"/>
      <c r="G28" s="5" t="n"/>
    </row>
    <row r="29" ht="25.62" customHeight="1">
      <c r="B29" s="18" t="inlineStr">
        <is>
          <t>How likely is it that I’ll need to protect it?</t>
        </is>
      </c>
      <c r="C29" s="5" t="n"/>
      <c r="D29" s="5" t="n"/>
      <c r="E29" s="5" t="n"/>
      <c r="F29" s="5" t="n"/>
      <c r="G29" s="5" t="n"/>
    </row>
    <row r="30" ht="25.62" customHeight="1">
      <c r="B30" s="18" t="inlineStr">
        <is>
          <t>How bad are the consequences if I fail?</t>
        </is>
      </c>
      <c r="C30" s="5" t="n"/>
      <c r="D30" s="5" t="n"/>
      <c r="E30" s="5" t="n"/>
      <c r="F30" s="5" t="n"/>
      <c r="G30" s="5" t="n"/>
    </row>
    <row r="31" ht="25.62" customHeight="1">
      <c r="B31" s="18" t="inlineStr">
        <is>
          <t>How much trouble am I willing to go through to prevent those consequences?</t>
        </is>
      </c>
      <c r="C31" s="5" t="n"/>
      <c r="D31" s="5" t="n"/>
      <c r="E31" s="5" t="n"/>
      <c r="F31" s="5" t="n"/>
      <c r="G31" s="5" t="n"/>
    </row>
    <row r="32" ht="14" customHeight="1"/>
    <row r="33" ht="26" customHeight="1">
      <c r="B33" s="6" t="inlineStr">
        <is>
          <t>The framework</t>
        </is>
      </c>
      <c r="C33" s="7" t="n"/>
      <c r="D33" s="7" t="n"/>
      <c r="E33" s="7" t="n"/>
      <c r="F33" s="7" t="n"/>
      <c r="G33" s="7" t="n"/>
    </row>
    <row r="34" ht="6" customHeight="1"/>
    <row r="35" ht="26" customHeight="1">
      <c r="B35" s="19" t="inlineStr">
        <is>
          <t>1</t>
        </is>
      </c>
      <c r="C35" s="20" t="inlineStr">
        <is>
          <t>Asset inventory</t>
        </is>
      </c>
    </row>
    <row r="36" ht="20.2" customHeight="1">
      <c r="C36" s="21" t="inlineStr">
        <is>
          <t>What do we need to protect?</t>
        </is>
      </c>
    </row>
    <row r="37" ht="8" customHeight="1"/>
    <row r="38" ht="26" customHeight="1">
      <c r="B38" s="19" t="inlineStr">
        <is>
          <t>2</t>
        </is>
      </c>
      <c r="C38" s="20" t="inlineStr">
        <is>
          <t>Security category</t>
        </is>
      </c>
    </row>
    <row r="39" ht="20.2" customHeight="1">
      <c r="C39" s="21" t="inlineStr">
        <is>
          <t>Accounts  ·  Devices  ·  Applications  ·  Information</t>
        </is>
      </c>
    </row>
    <row r="40" ht="8" customHeight="1"/>
    <row r="41" ht="26" customHeight="1">
      <c r="B41" s="19" t="inlineStr">
        <is>
          <t>3</t>
        </is>
      </c>
      <c r="C41" s="20" t="inlineStr">
        <is>
          <t>Threat inventory</t>
        </is>
      </c>
    </row>
    <row r="42" ht="20.2" customHeight="1">
      <c r="C42" s="21" t="inlineStr">
        <is>
          <t>Threat source?  Identify threats  ·  Who/What  ·  Attack vectors</t>
        </is>
      </c>
    </row>
    <row r="43" ht="8" customHeight="1"/>
    <row r="44" ht="26" customHeight="1">
      <c r="B44" s="19" t="inlineStr">
        <is>
          <t>4</t>
        </is>
      </c>
      <c r="C44" s="20" t="inlineStr">
        <is>
          <t>Assess vulnerabilities</t>
        </is>
      </c>
    </row>
    <row r="45" ht="16.2" customHeight="1">
      <c r="C45" s="22" t="inlineStr">
        <is>
          <r>
            <rPr>
              <rFont val="Arial"/>
              <b val="1"/>
              <color rgb="001F2933"/>
              <sz val="10"/>
            </rPr>
            <t>Accounts</t>
          </r>
          <r>
            <rPr>
              <rFont val="Arial"/>
              <color rgb="0052514E"/>
              <sz val="10"/>
            </rPr>
            <t xml:space="preserve"> – reduce attack surface, make it very difficult to gain unauthorized access</t>
          </r>
        </is>
      </c>
    </row>
    <row r="46" ht="20.2" customHeight="1">
      <c r="C46" s="23" t="inlineStr">
        <is>
          <t>Poor password security  ·  Password reuse  ·  Weak passwords  ·  No MFA</t>
        </is>
      </c>
    </row>
    <row r="47" ht="16.2" customHeight="1">
      <c r="C47" s="22" t="inlineStr">
        <is>
          <r>
            <rPr>
              <rFont val="Arial"/>
              <b val="1"/>
              <color rgb="001F2933"/>
              <sz val="10"/>
            </rPr>
            <t>Devices</t>
          </r>
          <r>
            <rPr>
              <rFont val="Arial"/>
              <color rgb="0052514E"/>
              <sz val="10"/>
            </rPr>
            <t xml:space="preserve"> – reduce attack surface, harden what’s left</t>
          </r>
        </is>
      </c>
    </row>
    <row r="48" ht="48.59999999999999" customHeight="1">
      <c r="C48" s="24" t="inlineStr">
        <is>
          <t>Poor password security  ·  Weak passwords  ·  No MFA  ·  Passwords stored in clear text  ·  Weak baseline security configurations  ·  No hardening  ·  Unnecessary services enabled  ·  Unnecessary applications downloaded  ·  Lack of network security  ·  No longer supported</t>
        </is>
      </c>
    </row>
    <row r="49" ht="16.2" customHeight="1">
      <c r="C49" s="22" t="inlineStr">
        <is>
          <r>
            <rPr>
              <rFont val="Arial"/>
              <b val="1"/>
              <color rgb="001F2933"/>
              <sz val="10"/>
            </rPr>
            <t>Applications</t>
          </r>
        </is>
      </c>
    </row>
    <row r="50" ht="20.2" customHeight="1">
      <c r="C50" s="23" t="inlineStr">
        <is>
          <t>Weak configurations  ·  No security  ·  Out of date</t>
        </is>
      </c>
    </row>
    <row r="51" ht="16.2" customHeight="1">
      <c r="C51" s="22" t="inlineStr">
        <is>
          <r>
            <rPr>
              <rFont val="Arial"/>
              <b val="1"/>
              <color rgb="001F2933"/>
              <sz val="10"/>
            </rPr>
            <t>Information</t>
          </r>
        </is>
      </c>
    </row>
    <row r="52" ht="20.2" customHeight="1">
      <c r="C52" s="23" t="inlineStr">
        <is>
          <t>No backup  ·  No encryption</t>
        </is>
      </c>
    </row>
    <row r="53" ht="8" customHeight="1"/>
    <row r="54" ht="26" customHeight="1">
      <c r="B54" s="19" t="inlineStr">
        <is>
          <t>5</t>
        </is>
      </c>
      <c r="C54" s="20" t="inlineStr">
        <is>
          <t>Identify and implement controls to mitigate risk</t>
        </is>
      </c>
    </row>
    <row r="55" ht="34.4" customHeight="1">
      <c r="C55" s="25" t="inlineStr">
        <is>
          <t>Threat + vulnerability = risk.  Are there threats?  Are there vulnerabilities?  Is there risk? Yes.  Controls to fix.</t>
        </is>
      </c>
    </row>
    <row r="56" ht="8" customHeight="1"/>
    <row r="57" ht="8" customHeight="1"/>
    <row r="58" ht="26" customHeight="1">
      <c r="B58" s="6" t="inlineStr">
        <is>
          <t>What’s inside</t>
        </is>
      </c>
      <c r="C58" s="7" t="n"/>
      <c r="D58" s="7" t="n"/>
      <c r="E58" s="7" t="n"/>
      <c r="F58" s="7" t="n"/>
      <c r="G58" s="7" t="n"/>
    </row>
    <row r="59" ht="6" customHeight="1"/>
    <row r="60" ht="24.2" customHeight="1">
      <c r="B60" s="26" t="inlineStr">
        <is>
          <t>Definitions  →</t>
        </is>
      </c>
      <c r="C60" s="27" t="n"/>
      <c r="D60" s="28" t="inlineStr">
        <is>
          <t>Threats, vulnerabilities, phishing, passkeys and more, in plain English.</t>
        </is>
      </c>
      <c r="E60" s="27" t="n"/>
      <c r="F60" s="27" t="n"/>
      <c r="G60" s="27" t="n"/>
    </row>
    <row r="61" ht="24.2" customHeight="1">
      <c r="B61" s="26" t="inlineStr">
        <is>
          <t>Reducing Attack Surface  →</t>
        </is>
      </c>
      <c r="C61" s="27" t="n"/>
      <c r="D61" s="28" t="inlineStr">
        <is>
          <t>The house-and-thief analogy, plus ten practical ways to shrink your attack surface.</t>
        </is>
      </c>
      <c r="E61" s="27" t="n"/>
      <c r="F61" s="27" t="n"/>
      <c r="G61" s="27" t="n"/>
    </row>
    <row r="62" ht="24.2" customHeight="1">
      <c r="B62" s="26" t="inlineStr">
        <is>
          <t>Common Attack Vectors  →</t>
        </is>
      </c>
      <c r="C62" s="27" t="n"/>
      <c r="D62" s="28" t="inlineStr">
        <is>
          <t>How attackers actually get in, with the 2026 numbers behind it.</t>
        </is>
      </c>
      <c r="E62" s="27" t="n"/>
      <c r="F62" s="27" t="n"/>
      <c r="G62" s="27" t="n"/>
    </row>
    <row r="63" ht="24.2" customHeight="1">
      <c r="B63" s="26" t="inlineStr">
        <is>
          <t>Devices  →</t>
        </is>
      </c>
      <c r="C63" s="27" t="n"/>
      <c r="D63" s="28" t="inlineStr">
        <is>
          <t>Checklist: every device you own or manage.</t>
        </is>
      </c>
      <c r="E63" s="27" t="n"/>
      <c r="F63" s="27" t="n"/>
      <c r="G63" s="27" t="n"/>
    </row>
    <row r="64" ht="24.2" customHeight="1">
      <c r="B64" s="26" t="inlineStr">
        <is>
          <t>Accounts  →</t>
        </is>
      </c>
      <c r="C64" s="27" t="n"/>
      <c r="D64" s="28" t="inlineStr">
        <is>
          <t>Checklist: every online account.</t>
        </is>
      </c>
      <c r="E64" s="27" t="n"/>
      <c r="F64" s="27" t="n"/>
      <c r="G64" s="27" t="n"/>
    </row>
    <row r="65" ht="24.2" customHeight="1">
      <c r="B65" s="26" t="inlineStr">
        <is>
          <t>Applications  →</t>
        </is>
      </c>
      <c r="C65" s="27" t="n"/>
      <c r="D65" s="28" t="inlineStr">
        <is>
          <t>Checklist: the apps and extensions you use.</t>
        </is>
      </c>
      <c r="E65" s="27" t="n"/>
      <c r="F65" s="27" t="n"/>
      <c r="G65" s="27" t="n"/>
    </row>
    <row r="66" ht="24.2" customHeight="1">
      <c r="B66" s="26" t="inlineStr">
        <is>
          <t>Information  →</t>
        </is>
      </c>
      <c r="C66" s="27" t="n"/>
      <c r="D66" s="28" t="inlineStr">
        <is>
          <t>Checklist: the data you can’t afford to lose or leak.</t>
        </is>
      </c>
      <c r="E66" s="27" t="n"/>
      <c r="F66" s="27" t="n"/>
      <c r="G66" s="27" t="n"/>
    </row>
    <row r="67" ht="24.2" customHeight="1">
      <c r="B67" s="26" t="inlineStr">
        <is>
          <t>Resources  →</t>
        </is>
      </c>
      <c r="C67" s="27" t="n"/>
      <c r="D67" s="28" t="inlineStr">
        <is>
          <t>Reports, standards, hardening guides and further reading.</t>
        </is>
      </c>
      <c r="E67" s="27" t="n"/>
      <c r="F67" s="27" t="n"/>
      <c r="G67" s="27" t="n"/>
    </row>
    <row r="68" ht="18" customHeight="1"/>
    <row r="69">
      <c r="B69" s="29" t="inlineStr">
        <is>
          <t>Watch the video: Threat Modeling for Normal People</t>
        </is>
      </c>
      <c r="E69" s="30" t="inlineStr">
        <is>
          <t>fnitguy.tech</t>
        </is>
      </c>
    </row>
  </sheetData>
  <mergeCells count="61">
    <mergeCell ref="D20:E20"/>
    <mergeCell ref="C49:G49"/>
    <mergeCell ref="F11:G11"/>
    <mergeCell ref="B62:C62"/>
    <mergeCell ref="D10:E10"/>
    <mergeCell ref="F10:G10"/>
    <mergeCell ref="C42:G42"/>
    <mergeCell ref="B23:G23"/>
    <mergeCell ref="E69:G69"/>
    <mergeCell ref="D64:G64"/>
    <mergeCell ref="B66:C66"/>
    <mergeCell ref="B13:G13"/>
    <mergeCell ref="C45:G45"/>
    <mergeCell ref="B18:C18"/>
    <mergeCell ref="D67:G67"/>
    <mergeCell ref="B69:D69"/>
    <mergeCell ref="B29:G29"/>
    <mergeCell ref="D21:E21"/>
    <mergeCell ref="F21:G21"/>
    <mergeCell ref="C35:G35"/>
    <mergeCell ref="B21:C21"/>
    <mergeCell ref="B28:G28"/>
    <mergeCell ref="B11:C11"/>
    <mergeCell ref="C47:G47"/>
    <mergeCell ref="D11:E11"/>
    <mergeCell ref="C54:G54"/>
    <mergeCell ref="B67:C67"/>
    <mergeCell ref="F20:G20"/>
    <mergeCell ref="F18:G18"/>
    <mergeCell ref="C44:G44"/>
    <mergeCell ref="C41:G41"/>
    <mergeCell ref="C50:G50"/>
    <mergeCell ref="B60:C60"/>
    <mergeCell ref="C55:G55"/>
    <mergeCell ref="D60:G60"/>
    <mergeCell ref="B61:C61"/>
    <mergeCell ref="B17:C17"/>
    <mergeCell ref="D63:G63"/>
    <mergeCell ref="B30:G30"/>
    <mergeCell ref="D17:E17"/>
    <mergeCell ref="F17:G17"/>
    <mergeCell ref="B6:G6"/>
    <mergeCell ref="D65:G65"/>
    <mergeCell ref="C46:G46"/>
    <mergeCell ref="B10:C10"/>
    <mergeCell ref="C51:G51"/>
    <mergeCell ref="C36:G36"/>
    <mergeCell ref="D18:E18"/>
    <mergeCell ref="C39:G39"/>
    <mergeCell ref="C52:G52"/>
    <mergeCell ref="B65:C65"/>
    <mergeCell ref="C48:G48"/>
    <mergeCell ref="D61:G61"/>
    <mergeCell ref="B64:C64"/>
    <mergeCell ref="C38:G38"/>
    <mergeCell ref="D66:G66"/>
    <mergeCell ref="B20:C20"/>
    <mergeCell ref="B31:G31"/>
    <mergeCell ref="B27:G27"/>
    <mergeCell ref="B63:C63"/>
    <mergeCell ref="D62:G62"/>
  </mergeCells>
  <hyperlinks>
    <hyperlink ref="B60" location="'Definitions'!A1" display="Definitions  →"/>
    <hyperlink ref="B61" location="'Reducing Attack Surface'!A1" display="Reducing Attack Surface  →"/>
    <hyperlink ref="B62" location="'Common Attack Vectors'!A1" display="Common Attack Vectors  →"/>
    <hyperlink ref="B63" location="'Devices'!A1" display="Devices  →"/>
    <hyperlink ref="B64" location="'Accounts'!A1" display="Accounts  →"/>
    <hyperlink ref="B65" location="'Applications'!A1" display="Applications  →"/>
    <hyperlink ref="B66" location="'Information'!A1" display="Information  →"/>
    <hyperlink ref="B67" location="'Resources'!A1" display="Resources  →"/>
    <hyperlink xmlns:r="http://schemas.openxmlformats.org/officeDocument/2006/relationships" ref="B69" r:id="rId1"/>
    <hyperlink xmlns:r="http://schemas.openxmlformats.org/officeDocument/2006/relationships" ref="E69" r:id="rId2"/>
  </hyperlinks>
  <pageMargins left="0.4" right="0.4" top="0.5" bottom="0.5" header="0.5" footer="0.5"/>
  <pageSetup orientation="portrait" fitToHeight="0" fitToWidth="1"/>
</worksheet>
</file>

<file path=xl/worksheets/sheet2.xml><?xml version="1.0" encoding="utf-8"?>
<worksheet xmlns="http://schemas.openxmlformats.org/spreadsheetml/2006/main">
  <sheetPr>
    <tabColor rgb="0017324D"/>
    <outlinePr summaryBelow="1" summaryRight="1"/>
    <pageSetUpPr fitToPage="1"/>
  </sheetPr>
  <dimension ref="A1:E33"/>
  <sheetViews>
    <sheetView showGridLines="0" zoomScale="100" workbookViewId="0">
      <selection activeCell="A1" sqref="A1"/>
    </sheetView>
  </sheetViews>
  <sheetFormatPr baseColWidth="8" defaultRowHeight="15"/>
  <cols>
    <col width="2.5" customWidth="1" min="1" max="1"/>
    <col width="22" customWidth="1" min="2" max="2"/>
    <col width="72" customWidth="1" min="3" max="3"/>
    <col width="22" customWidth="1" min="4" max="4"/>
    <col width="2.5" customWidth="1" min="5" max="5"/>
  </cols>
  <sheetData>
    <row r="1" ht="10" customHeight="1">
      <c r="A1" s="1" t="n"/>
      <c r="B1" s="1" t="n"/>
      <c r="C1" s="1" t="n"/>
      <c r="D1" s="1" t="n"/>
      <c r="E1" s="1" t="n"/>
    </row>
    <row r="2" ht="34" customHeight="1">
      <c r="A2" s="1" t="n"/>
      <c r="B2" s="2" t="inlineStr">
        <is>
          <t>Definitions</t>
        </is>
      </c>
      <c r="C2" s="1" t="n"/>
      <c r="D2" s="31" t="inlineStr">
        <is>
          <t>← Start Here</t>
        </is>
      </c>
      <c r="E2" s="1" t="n"/>
    </row>
    <row r="3" ht="20" customHeight="1">
      <c r="A3" s="1" t="n"/>
      <c r="B3" s="3" t="inlineStr">
        <is>
          <t>The words you’ll see throughout this workbook</t>
        </is>
      </c>
      <c r="C3" s="1" t="n"/>
      <c r="D3" s="1" t="n"/>
      <c r="E3" s="1" t="n"/>
    </row>
    <row r="4" ht="12" customHeight="1">
      <c r="A4" s="1" t="n"/>
      <c r="B4" s="1" t="n"/>
      <c r="C4" s="1" t="n"/>
      <c r="D4" s="1" t="n"/>
      <c r="E4" s="1" t="n"/>
    </row>
    <row r="5" ht="12" customHeight="1"/>
    <row r="6" ht="24" customHeight="1">
      <c r="B6" s="32" t="inlineStr">
        <is>
          <t>Term</t>
        </is>
      </c>
      <c r="C6" s="32" t="inlineStr">
        <is>
          <t>Definition</t>
        </is>
      </c>
      <c r="D6" s="32" t="inlineStr">
        <is>
          <t>Source</t>
        </is>
      </c>
    </row>
    <row r="7" ht="8" customHeight="1"/>
    <row r="8" ht="20" customHeight="1">
      <c r="B8" s="33" t="inlineStr">
        <is>
          <t>THE BASICS</t>
        </is>
      </c>
      <c r="C8" s="34" t="n"/>
      <c r="D8" s="34" t="n"/>
    </row>
    <row r="9" ht="42.4" customHeight="1">
      <c r="B9" s="35" t="inlineStr">
        <is>
          <t>Threat</t>
        </is>
      </c>
      <c r="C9" s="36" t="inlineStr">
        <is>
          <t>Anyone or anything that could cause harm: a thief, a scammer, malware, even a flood.</t>
        </is>
      </c>
      <c r="D9" s="37" t="inlineStr"/>
    </row>
    <row r="10" ht="42.4" customHeight="1">
      <c r="B10" s="38" t="inlineStr">
        <is>
          <t>Vulnerability</t>
        </is>
      </c>
      <c r="C10" s="39" t="inlineStr">
        <is>
          <t>A weakness a threat can use: an unpatched app, a reused password, an unlocked door.</t>
        </is>
      </c>
      <c r="D10" s="40" t="inlineStr"/>
    </row>
    <row r="11" ht="42.4" customHeight="1">
      <c r="B11" s="35" t="inlineStr">
        <is>
          <t>Risk</t>
        </is>
      </c>
      <c r="C11" s="36" t="inlineStr">
        <is>
          <t>Threat + vulnerability. If both exist, you have risk – and controls are how you reduce it.</t>
        </is>
      </c>
      <c r="D11" s="37" t="inlineStr"/>
    </row>
    <row r="12" ht="28.2" customHeight="1">
      <c r="B12" s="38" t="inlineStr">
        <is>
          <t>Attack surface</t>
        </is>
      </c>
      <c r="C12" s="39" t="inlineStr">
        <is>
          <t>The sum of all the points where an unauthorized user can access a system.</t>
        </is>
      </c>
      <c r="D12" s="40" t="inlineStr"/>
    </row>
    <row r="13" ht="28.2" customHeight="1">
      <c r="B13" s="35" t="inlineStr">
        <is>
          <t>Attack vector</t>
        </is>
      </c>
      <c r="C13" s="36" t="inlineStr">
        <is>
          <t>The means by which a threat gains access to a point of entry.</t>
        </is>
      </c>
      <c r="D13" s="37" t="inlineStr"/>
    </row>
    <row r="14" ht="8" customHeight="1"/>
    <row r="15" ht="20" customHeight="1">
      <c r="B15" s="33" t="inlineStr">
        <is>
          <t>SOCIAL ENGINEERING</t>
        </is>
      </c>
      <c r="C15" s="34" t="n"/>
      <c r="D15" s="34" t="n"/>
    </row>
    <row r="16" ht="56.59999999999999" customHeight="1">
      <c r="B16" s="35" t="inlineStr">
        <is>
          <t>Social engineering</t>
        </is>
      </c>
      <c r="C16" s="36" t="inlineStr">
        <is>
          <t>A general term for attackers trying to trick people into revealing sensitive information or performing certain actions, such as downloading and executing files that appear to be benign but are actually malicious.</t>
        </is>
      </c>
      <c r="D16" s="37" t="inlineStr"/>
    </row>
    <row r="17" ht="42.4" customHeight="1">
      <c r="B17" s="38" t="inlineStr">
        <is>
          <t>Phishing</t>
        </is>
      </c>
      <c r="C17" s="39" t="inlineStr">
        <is>
          <t>Tricking individuals into disclosing sensitive personal information through deceptive computer-based means.</t>
        </is>
      </c>
      <c r="D17" s="40" t="inlineStr">
        <is>
          <t>NIST SP 800-83</t>
        </is>
      </c>
    </row>
    <row r="18" ht="42.4" customHeight="1">
      <c r="B18" s="38" t="inlineStr"/>
      <c r="C18" s="39" t="inlineStr">
        <is>
          <t>Deceiving individuals into disclosing sensitive personal information through deceptive computer-based means.</t>
        </is>
      </c>
      <c r="D18" s="40" t="inlineStr">
        <is>
          <t>CNSSI-4009</t>
        </is>
      </c>
    </row>
    <row r="19" ht="56.59999999999999" customHeight="1">
      <c r="B19" s="38" t="inlineStr"/>
      <c r="C19" s="39" t="inlineStr">
        <is>
          <t>A digital form of social engineering that uses authentic-looking—but bogus—emails to request information from users or direct them to a fake Web site that requests information.</t>
        </is>
      </c>
      <c r="D19" s="40" t="inlineStr">
        <is>
          <t>NIST SP 800-115</t>
        </is>
      </c>
    </row>
    <row r="20" ht="28.2" customHeight="1">
      <c r="B20" s="35" t="inlineStr">
        <is>
          <t>Vishing</t>
        </is>
      </c>
      <c r="C20" s="36" t="inlineStr">
        <is>
          <t>See phishing, but with voice (phone calls).</t>
        </is>
      </c>
      <c r="D20" s="37" t="inlineStr"/>
    </row>
    <row r="21" ht="28.2" customHeight="1">
      <c r="B21" s="38" t="inlineStr">
        <is>
          <t>Smishing</t>
        </is>
      </c>
      <c r="C21" s="39" t="inlineStr">
        <is>
          <t>See phishing, but via SMS (text messages).</t>
        </is>
      </c>
      <c r="D21" s="40" t="inlineStr"/>
    </row>
    <row r="22" ht="42.4" customHeight="1">
      <c r="B22" s="35" t="inlineStr">
        <is>
          <t>Pretexting</t>
        </is>
      </c>
      <c r="C22" s="36" t="inlineStr">
        <is>
          <t>Building a fake but believable scenario (“this is IT support”, “this is your bank”) to trick someone into taking an action, frequently by phone.</t>
        </is>
      </c>
      <c r="D22" s="37" t="inlineStr">
        <is>
          <t>Verizon 2026 DBIR</t>
        </is>
      </c>
    </row>
    <row r="23" ht="8" customHeight="1"/>
    <row r="24" ht="20" customHeight="1">
      <c r="B24" s="33" t="inlineStr">
        <is>
          <t>PROTECTING YOURSELF</t>
        </is>
      </c>
      <c r="C24" s="34" t="n"/>
      <c r="D24" s="34" t="n"/>
    </row>
    <row r="25" ht="42.4" customHeight="1">
      <c r="B25" s="35" t="inlineStr">
        <is>
          <t>MFA</t>
        </is>
      </c>
      <c r="C25" s="36" t="inlineStr">
        <is>
          <t>Multi-factor authentication: a second proof on top of your password, like an authenticator app code, a security key or a passkey.</t>
        </is>
      </c>
      <c r="D25" s="37" t="inlineStr"/>
    </row>
    <row r="26" ht="42.4" customHeight="1">
      <c r="B26" s="38" t="inlineStr">
        <is>
          <t>Passkey</t>
        </is>
      </c>
      <c r="C26" s="39" t="inlineStr">
        <is>
          <t>A replacement for passwords that uses your phone or computer (and its fingerprint, face or PIN) to sign you in. Passkeys can’t be phished, guessed or reused.</t>
        </is>
      </c>
      <c r="D26" s="40" t="inlineStr">
        <is>
          <t>FIDO Alliance</t>
        </is>
      </c>
    </row>
    <row r="27" ht="42.4" customHeight="1">
      <c r="B27" s="35" t="inlineStr">
        <is>
          <t>Password manager</t>
        </is>
      </c>
      <c r="C27" s="36" t="inlineStr">
        <is>
          <t>An app that creates, stores and fills a unique, strong password for every account, so you only have to remember one.</t>
        </is>
      </c>
      <c r="D27" s="37" t="inlineStr">
        <is>
          <t>CISA</t>
        </is>
      </c>
    </row>
    <row r="28" ht="42.4" customHeight="1">
      <c r="B28" s="38" t="inlineStr">
        <is>
          <t>STIG</t>
        </is>
      </c>
      <c r="C28" s="39" t="inlineStr">
        <is>
          <t>Security Technical Implementation Guide: very specific hardening instructions for a product, published by DISA for the U.S. Department of Defense.</t>
        </is>
      </c>
      <c r="D28" s="40" t="inlineStr">
        <is>
          <t>DISA</t>
        </is>
      </c>
    </row>
    <row r="29" ht="28.2" customHeight="1">
      <c r="B29" s="35" t="inlineStr">
        <is>
          <t>Zero-day</t>
        </is>
      </c>
      <c r="C29" s="36" t="inlineStr">
        <is>
          <t>A vulnerability attackers are using before the vendor has released a fix.</t>
        </is>
      </c>
      <c r="D29" s="37" t="inlineStr"/>
    </row>
    <row r="30" ht="42.4" customHeight="1">
      <c r="B30" s="38" t="inlineStr">
        <is>
          <t>Ransomware</t>
        </is>
      </c>
      <c r="C30" s="39" t="inlineStr">
        <is>
          <t>Malware that locks or steals your files and demands payment. Good, tested backups take away its power.</t>
        </is>
      </c>
      <c r="D30" s="40" t="inlineStr"/>
    </row>
    <row r="31" ht="42.4" customHeight="1">
      <c r="B31" s="35" t="inlineStr">
        <is>
          <t>End of life (EOL)</t>
        </is>
      </c>
      <c r="C31" s="36" t="inlineStr">
        <is>
          <t>A product the vendor no longer supports with security updates. It will never be patched again.</t>
        </is>
      </c>
      <c r="D31" s="37" t="inlineStr"/>
    </row>
    <row r="32" ht="12" customHeight="1"/>
    <row r="33">
      <c r="B33" s="41" t="inlineStr">
        <is>
          <t>Glossary source:</t>
        </is>
      </c>
      <c r="C33" s="42" t="inlineStr">
        <is>
          <t>NIST IR 7298 Rev. 2 – Glossary of Key Information Security Terms</t>
        </is>
      </c>
    </row>
  </sheetData>
  <hyperlinks>
    <hyperlink ref="D2" location="'Start Here'!A1" display="Start Here"/>
    <hyperlink xmlns:r="http://schemas.openxmlformats.org/officeDocument/2006/relationships" ref="C33" r:id="rId1"/>
  </hyperlinks>
  <pageMargins left="0.4" right="0.4" top="0.5" bottom="0.5" header="0.5" footer="0.5"/>
  <pageSetup orientation="portrait" fitToHeight="0" fitToWidth="1"/>
</worksheet>
</file>

<file path=xl/worksheets/sheet3.xml><?xml version="1.0" encoding="utf-8"?>
<worksheet xmlns="http://schemas.openxmlformats.org/spreadsheetml/2006/main">
  <sheetPr>
    <tabColor rgb="0017324D"/>
    <outlinePr summaryBelow="1" summaryRight="1"/>
    <pageSetUpPr fitToPage="1"/>
  </sheetPr>
  <dimension ref="A1:H28"/>
  <sheetViews>
    <sheetView showGridLines="0" zoomScale="100" workbookViewId="0">
      <selection activeCell="A1" sqref="A1"/>
    </sheetView>
  </sheetViews>
  <sheetFormatPr baseColWidth="8" defaultRowHeight="15"/>
  <cols>
    <col width="2.5" customWidth="1" min="1" max="1"/>
    <col width="5" customWidth="1" min="2" max="2"/>
    <col width="19" customWidth="1" min="3" max="3"/>
    <col width="19" customWidth="1" min="4" max="4"/>
    <col width="19" customWidth="1" min="5" max="5"/>
    <col width="19" customWidth="1" min="6" max="6"/>
    <col width="19" customWidth="1" min="7" max="7"/>
    <col width="2.5" customWidth="1" min="8" max="8"/>
  </cols>
  <sheetData>
    <row r="1" ht="10" customHeight="1">
      <c r="A1" s="1" t="n"/>
      <c r="B1" s="1" t="n"/>
      <c r="C1" s="1" t="n"/>
      <c r="D1" s="1" t="n"/>
      <c r="E1" s="1" t="n"/>
      <c r="F1" s="1" t="n"/>
      <c r="G1" s="1" t="n"/>
      <c r="H1" s="1" t="n"/>
    </row>
    <row r="2" ht="34" customHeight="1">
      <c r="A2" s="1" t="n"/>
      <c r="B2" s="2" t="inlineStr">
        <is>
          <t>Reducing Attack Surface</t>
        </is>
      </c>
      <c r="C2" s="1" t="n"/>
      <c r="D2" s="1" t="n"/>
      <c r="E2" s="1" t="n"/>
      <c r="F2" s="1" t="n"/>
      <c r="G2" s="31" t="inlineStr">
        <is>
          <t>← Start Here</t>
        </is>
      </c>
      <c r="H2" s="1" t="n"/>
    </row>
    <row r="3" ht="20" customHeight="1">
      <c r="A3" s="1" t="n"/>
      <c r="B3" s="3" t="inlineStr">
        <is>
          <t>Fewer ways in, and harder ones</t>
        </is>
      </c>
      <c r="C3" s="1" t="n"/>
      <c r="D3" s="1" t="n"/>
      <c r="E3" s="1" t="n"/>
      <c r="F3" s="1" t="n"/>
      <c r="G3" s="1" t="n"/>
      <c r="H3" s="1" t="n"/>
    </row>
    <row r="4" ht="12" customHeight="1">
      <c r="A4" s="1" t="n"/>
      <c r="B4" s="1" t="n"/>
      <c r="C4" s="1" t="n"/>
      <c r="D4" s="1" t="n"/>
      <c r="E4" s="1" t="n"/>
      <c r="F4" s="1" t="n"/>
      <c r="G4" s="1" t="n"/>
      <c r="H4" s="1" t="n"/>
    </row>
    <row r="5" ht="12" customHeight="1"/>
    <row r="6" ht="72.47999999999999" customHeight="1">
      <c r="B6" s="43" t="inlineStr">
        <is>
          <t>Attack Surface is the sum of all the points where an unauthorized user can access a system. Think of your attack surface as points of entry into your home, the threat as a thief, and the attack vector as the means by which the threat gains access to the point of entry. Our goal is to reduce the available entry points, increase the difficulty of the thief’s job, and render the thief’s attack vector useless.</t>
        </is>
      </c>
    </row>
    <row r="7" ht="52.59999999999999" customHeight="1">
      <c r="B7" s="11" t="inlineStr">
        <is>
          <t>In this case, if we live in a neighborhood where it is likely that thieves will rob us, we may put bars on our windows. We may put extra locks or a bracing mechanism on the door. We may refuse to answer the door when someone suspicious knocks. Furthermore, we are building up our castle (HARDENING) to prevent the petty thieves from accessing our resources.</t>
        </is>
      </c>
    </row>
    <row r="8" ht="58.59999999999999" customHeight="1">
      <c r="B8" s="4" t="inlineStr">
        <is>
          <r>
            <rPr>
              <rFont val="Arial"/>
              <b val="1"/>
              <color rgb="0017324D"/>
              <sz val="10"/>
            </rPr>
            <t xml:space="preserve">Maintain the balance.  </t>
          </r>
          <r>
            <rPr>
              <rFont val="Arial"/>
              <color rgb="001F2933"/>
              <sz val="10"/>
            </rPr>
            <t>We might make our house so secure that even WE can’t get into it. The opposite is also true, we may allow our house to be so accessible that anyone can waltz in. How can we maintain the balance? We threat model and end with risk mitigation!</t>
          </r>
        </is>
      </c>
      <c r="C8" s="5" t="n"/>
      <c r="D8" s="5" t="n"/>
      <c r="E8" s="5" t="n"/>
      <c r="F8" s="5" t="n"/>
      <c r="G8" s="5" t="n"/>
    </row>
    <row r="9" ht="14" customHeight="1"/>
    <row r="10" ht="26" customHeight="1">
      <c r="B10" s="6" t="inlineStr">
        <is>
          <t>Practical attack surface reduction</t>
        </is>
      </c>
      <c r="C10" s="7" t="n"/>
      <c r="D10" s="7" t="n"/>
      <c r="E10" s="7" t="n"/>
      <c r="F10" s="7" t="n"/>
      <c r="G10" s="7" t="n"/>
    </row>
    <row r="11" ht="6" customHeight="1"/>
    <row r="12" ht="24.2" customHeight="1">
      <c r="B12" s="44" t="n">
        <v>1</v>
      </c>
      <c r="C12" s="45" t="inlineStr">
        <is>
          <r>
            <rPr>
              <rFont val="Arial"/>
              <b val="1"/>
              <color rgb="001F2933"/>
              <sz val="10"/>
            </rPr>
            <t>Enable automatic updates.</t>
          </r>
          <r>
            <rPr>
              <rFont val="Arial"/>
              <color rgb="0052514E"/>
              <sz val="10"/>
            </rPr>
            <t xml:space="preserve">  Exploiting unpatched software is now the #1 way breaches start.</t>
          </r>
        </is>
      </c>
      <c r="D12" s="27" t="n"/>
      <c r="E12" s="27" t="n"/>
      <c r="F12" s="27" t="n"/>
      <c r="G12" s="27" t="n"/>
    </row>
    <row r="13" ht="24.2" customHeight="1">
      <c r="B13" s="44" t="n">
        <v>2</v>
      </c>
      <c r="C13" s="45" t="inlineStr">
        <is>
          <r>
            <rPr>
              <rFont val="Arial"/>
              <b val="1"/>
              <color rgb="001F2933"/>
              <sz val="10"/>
            </rPr>
            <t>Retire end-of-life devices.</t>
          </r>
          <r>
            <rPr>
              <rFont val="Arial"/>
              <color rgb="0052514E"/>
              <sz val="10"/>
            </rPr>
            <t xml:space="preserve">  If the vendor no longer ships security updates, the device will never be patched.</t>
          </r>
        </is>
      </c>
      <c r="D13" s="27" t="n"/>
      <c r="E13" s="27" t="n"/>
      <c r="F13" s="27" t="n"/>
      <c r="G13" s="27" t="n"/>
    </row>
    <row r="14" ht="38.4" customHeight="1">
      <c r="B14" s="44" t="n">
        <v>3</v>
      </c>
      <c r="C14" s="46" t="inlineStr">
        <is>
          <r>
            <rPr>
              <rFont val="Arial"/>
              <b val="1"/>
              <color rgb="001F2933"/>
              <sz val="10"/>
            </rPr>
            <t>Update your router.</t>
          </r>
          <r>
            <rPr>
              <rFont val="Arial"/>
              <color rgb="0052514E"/>
              <sz val="10"/>
            </rPr>
            <t xml:space="preserve">  Install firmware updates and change the default admin password. Routers and other edge devices are a favorite target.</t>
          </r>
        </is>
      </c>
      <c r="D14" s="27" t="n"/>
      <c r="E14" s="27" t="n"/>
      <c r="F14" s="27" t="n"/>
      <c r="G14" s="27" t="n"/>
    </row>
    <row r="15" ht="24.2" customHeight="1">
      <c r="B15" s="44" t="n">
        <v>4</v>
      </c>
      <c r="C15" s="45" t="inlineStr">
        <is>
          <r>
            <rPr>
              <rFont val="Arial"/>
              <b val="1"/>
              <color rgb="001F2933"/>
              <sz val="10"/>
            </rPr>
            <t>Disable unnecessary services.</t>
          </r>
        </is>
      </c>
      <c r="D15" s="27" t="n"/>
      <c r="E15" s="27" t="n"/>
      <c r="F15" s="27" t="n"/>
      <c r="G15" s="27" t="n"/>
    </row>
    <row r="16" ht="24.2" customHeight="1">
      <c r="B16" s="44" t="n">
        <v>5</v>
      </c>
      <c r="C16" s="45" t="inlineStr">
        <is>
          <r>
            <rPr>
              <rFont val="Arial"/>
              <b val="1"/>
              <color rgb="001F2933"/>
              <sz val="10"/>
            </rPr>
            <t>Delete unused applications.</t>
          </r>
          <r>
            <rPr>
              <rFont val="Arial"/>
              <color rgb="0052514E"/>
              <sz val="10"/>
            </rPr>
            <t xml:space="preserve">  Use your web browser instead of applications when possible.</t>
          </r>
        </is>
      </c>
      <c r="D16" s="27" t="n"/>
      <c r="E16" s="27" t="n"/>
      <c r="F16" s="27" t="n"/>
      <c r="G16" s="27" t="n"/>
    </row>
    <row r="17" ht="24.2" customHeight="1">
      <c r="B17" s="44" t="n">
        <v>6</v>
      </c>
      <c r="C17" s="45" t="inlineStr">
        <is>
          <r>
            <rPr>
              <rFont val="Arial"/>
              <b val="1"/>
              <color rgb="001F2933"/>
              <sz val="10"/>
            </rPr>
            <t>Configure devices and applications correctly.</t>
          </r>
          <r>
            <rPr>
              <rFont val="Arial"/>
              <color rgb="0052514E"/>
              <sz val="10"/>
            </rPr>
            <t xml:space="preserve">  Reference a STIG or vendor documentation.</t>
          </r>
        </is>
      </c>
      <c r="D17" s="27" t="n"/>
      <c r="E17" s="27" t="n"/>
      <c r="F17" s="27" t="n"/>
      <c r="G17" s="27" t="n"/>
    </row>
    <row r="18" ht="38.4" customHeight="1">
      <c r="B18" s="44" t="n">
        <v>7</v>
      </c>
      <c r="C18" s="46" t="inlineStr">
        <is>
          <r>
            <rPr>
              <rFont val="Arial"/>
              <b val="1"/>
              <color rgb="001F2933"/>
              <sz val="10"/>
            </rPr>
            <t>Implement least privilege.</t>
          </r>
          <r>
            <rPr>
              <rFont val="Arial"/>
              <color rgb="0052514E"/>
              <sz val="10"/>
            </rPr>
            <t xml:space="preserve">  Separate your accounts into one administrator and one user, and actually restrict user rights following separation of roles.</t>
          </r>
        </is>
      </c>
      <c r="D18" s="27" t="n"/>
      <c r="E18" s="27" t="n"/>
      <c r="F18" s="27" t="n"/>
      <c r="G18" s="27" t="n"/>
    </row>
    <row r="19" ht="24.2" customHeight="1">
      <c r="B19" s="44" t="n">
        <v>8</v>
      </c>
      <c r="C19" s="45" t="inlineStr">
        <is>
          <r>
            <rPr>
              <rFont val="Arial"/>
              <b val="1"/>
              <color rgb="001F2933"/>
              <sz val="10"/>
            </rPr>
            <t>Use a password manager.</t>
          </r>
          <r>
            <rPr>
              <rFont val="Arial"/>
              <color rgb="0052514E"/>
              <sz val="10"/>
            </rPr>
            <t xml:space="preserve">  Let it create a unique, strong password for every account.</t>
          </r>
        </is>
      </c>
      <c r="D19" s="27" t="n"/>
      <c r="E19" s="27" t="n"/>
      <c r="F19" s="27" t="n"/>
      <c r="G19" s="27" t="n"/>
    </row>
    <row r="20" ht="38.4" customHeight="1">
      <c r="B20" s="44" t="n">
        <v>9</v>
      </c>
      <c r="C20" s="46" t="inlineStr">
        <is>
          <r>
            <rPr>
              <rFont val="Arial"/>
              <b val="1"/>
              <color rgb="001F2933"/>
              <sz val="10"/>
            </rPr>
            <t>Turn on MFA – or better, passkeys.</t>
          </r>
          <r>
            <rPr>
              <rFont val="Arial"/>
              <color rgb="0052514E"/>
              <sz val="10"/>
            </rPr>
            <t xml:space="preserve">  Passkeys can’t be phished or reused. Use them wherever they’re offered.</t>
          </r>
        </is>
      </c>
      <c r="D20" s="27" t="n"/>
      <c r="E20" s="27" t="n"/>
      <c r="F20" s="27" t="n"/>
      <c r="G20" s="27" t="n"/>
    </row>
    <row r="21" ht="38.4" customHeight="1">
      <c r="B21" s="44" t="n">
        <v>10</v>
      </c>
      <c r="C21" s="46" t="inlineStr">
        <is>
          <r>
            <rPr>
              <rFont val="Arial"/>
              <b val="1"/>
              <color rgb="001F2933"/>
              <sz val="10"/>
            </rPr>
            <t>Back up your things, frequently!</t>
          </r>
          <r>
            <rPr>
              <rFont val="Arial"/>
              <color rgb="0052514E"/>
              <sz val="10"/>
            </rPr>
            <t xml:space="preserve">  This will protect you from mistakes AND ransomware. Keep one copy off the device, and test a restore now and then.</t>
          </r>
        </is>
      </c>
      <c r="D21" s="27" t="n"/>
      <c r="E21" s="27" t="n"/>
      <c r="F21" s="27" t="n"/>
      <c r="G21" s="27" t="n"/>
    </row>
    <row r="22" ht="10" customHeight="1"/>
    <row r="23" ht="36.4" customHeight="1">
      <c r="B23" s="47" t="inlineStr">
        <is>
          <t>These are some examples. Your device/application specific STIG will be comprehensive in helping you configure your applications and devices properly. It will likely point you in the right direction in disabling unnecessary services.</t>
        </is>
      </c>
    </row>
    <row r="24" ht="14" customHeight="1"/>
    <row r="25" ht="26" customHeight="1">
      <c r="B25" s="6" t="inlineStr">
        <is>
          <t>What this means for you</t>
        </is>
      </c>
      <c r="C25" s="7" t="n"/>
      <c r="D25" s="7" t="n"/>
      <c r="E25" s="7" t="n"/>
      <c r="F25" s="7" t="n"/>
      <c r="G25" s="7" t="n"/>
    </row>
    <row r="26" ht="6" customHeight="1"/>
    <row r="27" ht="36.4" customHeight="1">
      <c r="B27" s="11" t="inlineStr">
        <is>
          <t>You’ll notice when looking at the next tab that unpatched vulnerabilities, weak or stolen passwords, and phishing (social engineering) are the leading attack vectors. This means that if we cover those bases we’ll be much safer!</t>
        </is>
      </c>
    </row>
    <row r="28" ht="22" customHeight="1">
      <c r="B28" s="29" t="inlineStr">
        <is>
          <t>Next: Common Attack Vectors  →</t>
        </is>
      </c>
    </row>
  </sheetData>
  <mergeCells count="16">
    <mergeCell ref="B28:D28"/>
    <mergeCell ref="C21:G21"/>
    <mergeCell ref="C20:G20"/>
    <mergeCell ref="C12:G12"/>
    <mergeCell ref="C16:G16"/>
    <mergeCell ref="C15:G15"/>
    <mergeCell ref="B23:G23"/>
    <mergeCell ref="B27:G27"/>
    <mergeCell ref="B8:G8"/>
    <mergeCell ref="C19:G19"/>
    <mergeCell ref="C14:G14"/>
    <mergeCell ref="C13:G13"/>
    <mergeCell ref="C18:G18"/>
    <mergeCell ref="B7:G7"/>
    <mergeCell ref="C17:G17"/>
    <mergeCell ref="B6:G6"/>
  </mergeCells>
  <hyperlinks>
    <hyperlink ref="G2" location="'Start Here'!A1" display="Start Here"/>
    <hyperlink ref="B28" location="'Common Attack Vectors'!A1" display="Next: Common Attack Vectors  →"/>
  </hyperlinks>
  <pageMargins left="0.4" right="0.4" top="0.5" bottom="0.5" header="0.5" footer="0.5"/>
  <pageSetup orientation="portrait" fitToHeight="0" fitToWidth="1"/>
</worksheet>
</file>

<file path=xl/worksheets/sheet4.xml><?xml version="1.0" encoding="utf-8"?>
<worksheet xmlns="http://schemas.openxmlformats.org/spreadsheetml/2006/main">
  <sheetPr>
    <tabColor rgb="0017324D"/>
    <outlinePr summaryBelow="1" summaryRight="1"/>
    <pageSetUpPr fitToPage="1"/>
  </sheetPr>
  <dimension ref="A1:N62"/>
  <sheetViews>
    <sheetView showGridLines="0" zoomScale="100" workbookViewId="0">
      <selection activeCell="A1" sqref="A1"/>
    </sheetView>
  </sheetViews>
  <sheetFormatPr baseColWidth="8" defaultRowHeight="15"/>
  <cols>
    <col width="2.5" customWidth="1" min="1" max="1"/>
    <col width="43.5" customWidth="1" min="2" max="2"/>
    <col width="11" customWidth="1" min="3" max="3"/>
    <col width="11" customWidth="1" min="4" max="4"/>
    <col width="11" customWidth="1" min="5" max="5"/>
    <col width="3"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2.5" customWidth="1" min="14" max="14"/>
  </cols>
  <sheetData>
    <row r="1" ht="10" customHeight="1">
      <c r="A1" s="1" t="n"/>
      <c r="B1" s="1" t="n"/>
      <c r="C1" s="1" t="n"/>
      <c r="D1" s="1" t="n"/>
      <c r="E1" s="1" t="n"/>
      <c r="F1" s="1" t="n"/>
      <c r="G1" s="1" t="n"/>
      <c r="H1" s="1" t="n"/>
      <c r="I1" s="1" t="n"/>
      <c r="J1" s="1" t="n"/>
      <c r="K1" s="1" t="n"/>
      <c r="L1" s="1" t="n"/>
      <c r="M1" s="1" t="n"/>
      <c r="N1" s="1" t="n"/>
    </row>
    <row r="2" ht="34" customHeight="1">
      <c r="A2" s="1" t="n"/>
      <c r="B2" s="2" t="inlineStr">
        <is>
          <t>Common Attack Vectors</t>
        </is>
      </c>
      <c r="C2" s="1" t="n"/>
      <c r="D2" s="1" t="n"/>
      <c r="E2" s="1" t="n"/>
      <c r="F2" s="1" t="n"/>
      <c r="G2" s="1" t="n"/>
      <c r="H2" s="1" t="n"/>
      <c r="I2" s="1" t="n"/>
      <c r="J2" s="1" t="n"/>
      <c r="K2" s="1" t="n"/>
      <c r="L2" s="31" t="inlineStr">
        <is>
          <t>← Start Here</t>
        </is>
      </c>
      <c r="M2" s="5" t="n"/>
      <c r="N2" s="1" t="n"/>
    </row>
    <row r="3" ht="20" customHeight="1">
      <c r="A3" s="1" t="n"/>
      <c r="B3" s="3" t="inlineStr">
        <is>
          <t>How attackers actually get in, and what that means for you</t>
        </is>
      </c>
      <c r="C3" s="1" t="n"/>
      <c r="D3" s="1" t="n"/>
      <c r="E3" s="1" t="n"/>
      <c r="F3" s="1" t="n"/>
      <c r="G3" s="1" t="n"/>
      <c r="H3" s="1" t="n"/>
      <c r="I3" s="1" t="n"/>
      <c r="J3" s="1" t="n"/>
      <c r="K3" s="1" t="n"/>
      <c r="L3" s="1" t="n"/>
      <c r="M3" s="1" t="n"/>
      <c r="N3" s="1" t="n"/>
    </row>
    <row r="4" ht="12" customHeight="1">
      <c r="A4" s="1" t="n"/>
      <c r="B4" s="1" t="n"/>
      <c r="C4" s="1" t="n"/>
      <c r="D4" s="1" t="n"/>
      <c r="E4" s="1" t="n"/>
      <c r="F4" s="1" t="n"/>
      <c r="G4" s="1" t="n"/>
      <c r="H4" s="1" t="n"/>
      <c r="I4" s="1" t="n"/>
      <c r="J4" s="1" t="n"/>
      <c r="K4" s="1" t="n"/>
      <c r="L4" s="1" t="n"/>
      <c r="M4" s="1" t="n"/>
      <c r="N4" s="1" t="n"/>
    </row>
    <row r="5" ht="12" customHeight="1"/>
    <row r="6" ht="36.4" customHeight="1">
      <c r="B6" s="11" t="inlineStr">
        <is>
          <t>Here you’ll find some statistics regarding common attack vectors. These statistics were gathered primarily from businesses who were victims of attacks. They are still relevant to us because regardless of the percentages, among all cyber attacks there is a common theme:</t>
        </is>
      </c>
    </row>
    <row r="7" ht="8" customHeight="1"/>
    <row r="8" ht="24" customHeight="1">
      <c r="B8" s="48" t="inlineStr">
        <is>
          <r>
            <rPr>
              <rFont val="Arial"/>
              <b val="1"/>
              <color rgb="002A78D6"/>
              <sz val="10"/>
            </rPr>
            <t xml:space="preserve">01   </t>
          </r>
          <r>
            <rPr>
              <rFont val="Arial"/>
              <b val="1"/>
              <color rgb="0017324D"/>
              <sz val="10"/>
            </rPr>
            <t>Vulnerability exploitation</t>
          </r>
        </is>
      </c>
      <c r="C8" s="49" t="inlineStr">
        <is>
          <t>unpatched or misconfigured systems – now the #1 way in</t>
        </is>
      </c>
      <c r="D8" s="50" t="n"/>
      <c r="E8" s="50" t="n"/>
      <c r="F8" s="50" t="n"/>
      <c r="G8" s="50" t="n"/>
      <c r="H8" s="50" t="n"/>
      <c r="I8" s="50" t="n"/>
      <c r="J8" s="50" t="n"/>
      <c r="K8" s="50" t="n"/>
      <c r="L8" s="50" t="n"/>
      <c r="M8" s="50" t="n"/>
    </row>
    <row r="9" ht="24" customHeight="1">
      <c r="B9" s="48" t="inlineStr">
        <is>
          <r>
            <rPr>
              <rFont val="Arial"/>
              <b val="1"/>
              <color rgb="002A78D6"/>
              <sz val="10"/>
            </rPr>
            <t xml:space="preserve">02   </t>
          </r>
          <r>
            <rPr>
              <rFont val="Arial"/>
              <b val="1"/>
              <color rgb="0017324D"/>
              <sz val="10"/>
            </rPr>
            <t>Phishing attacks</t>
          </r>
        </is>
      </c>
      <c r="C9" s="49" t="inlineStr">
        <is>
          <t>social engineering, increasingly by text and phone</t>
        </is>
      </c>
      <c r="D9" s="50" t="n"/>
      <c r="E9" s="50" t="n"/>
      <c r="F9" s="50" t="n"/>
      <c r="G9" s="50" t="n"/>
      <c r="H9" s="50" t="n"/>
      <c r="I9" s="50" t="n"/>
      <c r="J9" s="50" t="n"/>
      <c r="K9" s="50" t="n"/>
      <c r="L9" s="50" t="n"/>
      <c r="M9" s="50" t="n"/>
    </row>
    <row r="10" ht="24" customHeight="1">
      <c r="B10" s="48" t="inlineStr">
        <is>
          <r>
            <rPr>
              <rFont val="Arial"/>
              <b val="1"/>
              <color rgb="002A78D6"/>
              <sz val="10"/>
            </rPr>
            <t xml:space="preserve">03   </t>
          </r>
          <r>
            <rPr>
              <rFont val="Arial"/>
              <b val="1"/>
              <color rgb="0017324D"/>
              <sz val="10"/>
            </rPr>
            <t>Weak credentials</t>
          </r>
        </is>
      </c>
      <c r="C10" s="49" t="inlineStr">
        <is>
          <t>reused, guessed or stolen passwords</t>
        </is>
      </c>
      <c r="D10" s="50" t="n"/>
      <c r="E10" s="50" t="n"/>
      <c r="F10" s="50" t="n"/>
      <c r="G10" s="50" t="n"/>
      <c r="H10" s="50" t="n"/>
      <c r="I10" s="50" t="n"/>
      <c r="J10" s="50" t="n"/>
      <c r="K10" s="50" t="n"/>
      <c r="L10" s="50" t="n"/>
      <c r="M10" s="50" t="n"/>
    </row>
    <row r="11" ht="24" customHeight="1">
      <c r="B11" s="48" t="inlineStr">
        <is>
          <r>
            <rPr>
              <rFont val="Arial"/>
              <b val="1"/>
              <color rgb="002A78D6"/>
              <sz val="10"/>
            </rPr>
            <t xml:space="preserve">04   </t>
          </r>
          <r>
            <rPr>
              <rFont val="Arial"/>
              <b val="1"/>
              <color rgb="0017324D"/>
              <sz val="10"/>
            </rPr>
            <t>Ransomware</t>
          </r>
        </is>
      </c>
      <c r="C11" s="49" t="inlineStr">
        <is>
          <t>generally delivered via social engineering attempts</t>
        </is>
      </c>
      <c r="D11" s="50" t="n"/>
      <c r="E11" s="50" t="n"/>
      <c r="F11" s="50" t="n"/>
      <c r="G11" s="50" t="n"/>
      <c r="H11" s="50" t="n"/>
      <c r="I11" s="50" t="n"/>
      <c r="J11" s="50" t="n"/>
      <c r="K11" s="50" t="n"/>
      <c r="L11" s="50" t="n"/>
      <c r="M11" s="50" t="n"/>
    </row>
    <row r="12" ht="14" customHeight="1"/>
    <row r="13" ht="26" customHeight="1">
      <c r="B13" s="6" t="inlineStr">
        <is>
          <t>How we defend</t>
        </is>
      </c>
      <c r="C13" s="7" t="n"/>
      <c r="D13" s="7" t="n"/>
      <c r="E13" s="7" t="n"/>
      <c r="F13" s="7" t="n"/>
      <c r="G13" s="7" t="n"/>
      <c r="H13" s="7" t="n"/>
      <c r="I13" s="7" t="n"/>
      <c r="J13" s="7" t="n"/>
      <c r="K13" s="7" t="n"/>
      <c r="L13" s="7" t="n"/>
      <c r="M13" s="7" t="n"/>
    </row>
    <row r="14" ht="6" customHeight="1"/>
    <row r="15" ht="33.4" customHeight="1">
      <c r="B15" s="51" t="inlineStr">
        <is>
          <r>
            <rPr>
              <rFont val="Arial"/>
              <b val="1"/>
              <color rgb="002A78D6"/>
              <sz val="10"/>
            </rPr>
            <t xml:space="preserve">•  </t>
          </r>
          <r>
            <rPr>
              <rFont val="Arial"/>
              <color rgb="001F2933"/>
              <sz val="10"/>
            </rPr>
            <t>We can avoid phishing, smishing, and vishing attacks by being hyper aware of email, text, and calls that are not from somebody we explicitly know. Be extra careful on your phone – people click more there.</t>
          </r>
        </is>
      </c>
    </row>
    <row r="16" ht="33.4" customHeight="1">
      <c r="B16" s="51" t="inlineStr">
        <is>
          <r>
            <rPr>
              <rFont val="Arial"/>
              <b val="1"/>
              <color rgb="002A78D6"/>
              <sz val="10"/>
            </rPr>
            <t xml:space="preserve">•  </t>
          </r>
          <r>
            <rPr>
              <rFont val="Arial"/>
              <color rgb="001F2933"/>
              <sz val="10"/>
            </rPr>
            <t>We can check to see if our accounts have been compromised on haveibeenpwned.com, ensure that we do not have weak or reused passwords (a password manager makes this easy), and enable multi-factor authentication or passkeys.</t>
          </r>
        </is>
      </c>
    </row>
    <row r="17" ht="33.4" customHeight="1">
      <c r="B17" s="51" t="inlineStr">
        <is>
          <r>
            <rPr>
              <rFont val="Arial"/>
              <b val="1"/>
              <color rgb="002A78D6"/>
              <sz val="10"/>
            </rPr>
            <t xml:space="preserve">•  </t>
          </r>
          <r>
            <rPr>
              <rFont val="Arial"/>
              <color rgb="001F2933"/>
              <sz val="10"/>
            </rPr>
            <t>We can ensure that our systems are set up to automatically update, thereby applying critical security patches before an attacker can exploit them. This will not protect you from “zero-days”, but the majority of zero-days are patched quickly and automatic updates will keep the vulnerability window as small as possible.</t>
          </r>
        </is>
      </c>
    </row>
    <row r="18" ht="19.2" customHeight="1">
      <c r="B18" s="22" t="inlineStr">
        <is>
          <r>
            <rPr>
              <rFont val="Arial"/>
              <b val="1"/>
              <color rgb="002A78D6"/>
              <sz val="10"/>
            </rPr>
            <t xml:space="preserve">•  </t>
          </r>
          <r>
            <rPr>
              <rFont val="Arial"/>
              <color rgb="001F2933"/>
              <sz val="10"/>
            </rPr>
            <t>We can ensure our devices and applications are hardened to a reasonable degree, and replace ones that no longer get security updates.</t>
          </r>
        </is>
      </c>
    </row>
    <row r="19" ht="19.2" customHeight="1">
      <c r="B19" s="22" t="inlineStr">
        <is>
          <r>
            <rPr>
              <rFont val="Arial"/>
              <b val="1"/>
              <color rgb="002A78D6"/>
              <sz val="10"/>
            </rPr>
            <t xml:space="preserve">•  </t>
          </r>
          <r>
            <rPr>
              <rFont val="Arial"/>
              <color rgb="001F2933"/>
              <sz val="10"/>
            </rPr>
            <t>We can ensure we are frequently backing up our files to prevent the effectiveness of ransomware.</t>
          </r>
        </is>
      </c>
    </row>
    <row r="20" ht="8" customHeight="1"/>
    <row r="21" ht="44.4" customHeight="1">
      <c r="B21" s="4" t="inlineStr">
        <is>
          <r>
            <rPr>
              <rFont val="Arial"/>
              <b val="1"/>
              <color rgb="0017324D"/>
              <sz val="10"/>
            </rPr>
            <t xml:space="preserve">NOTE:  </t>
          </r>
          <r>
            <rPr>
              <rFont val="Arial"/>
              <color rgb="001F2933"/>
              <sz val="10"/>
            </rPr>
            <t>The number one agent that leads to compromise is ultimately ourselves. There are many free cyber security awareness programs online that can help educate you. A little goes a long way!</t>
          </r>
        </is>
      </c>
      <c r="C21" s="5" t="n"/>
      <c r="D21" s="5" t="n"/>
      <c r="E21" s="5" t="n"/>
      <c r="F21" s="5" t="n"/>
      <c r="G21" s="5" t="n"/>
      <c r="H21" s="5" t="n"/>
      <c r="I21" s="5" t="n"/>
      <c r="J21" s="5" t="n"/>
      <c r="K21" s="5" t="n"/>
      <c r="L21" s="5" t="n"/>
      <c r="M21" s="5" t="n"/>
    </row>
    <row r="22" ht="14" customHeight="1"/>
    <row r="23" ht="26" customHeight="1">
      <c r="B23" s="6" t="inlineStr">
        <is>
          <t>The numbers: Verizon 2026 Data Breach Investigations Report</t>
        </is>
      </c>
      <c r="C23" s="7" t="n"/>
      <c r="D23" s="7" t="n"/>
      <c r="E23" s="7" t="n"/>
      <c r="F23" s="7" t="n"/>
      <c r="G23" s="7" t="n"/>
      <c r="H23" s="7" t="n"/>
      <c r="I23" s="7" t="n"/>
      <c r="J23" s="7" t="n"/>
      <c r="K23" s="7" t="n"/>
      <c r="L23" s="7" t="n"/>
      <c r="M23" s="7" t="n"/>
    </row>
    <row r="24" ht="6" customHeight="1"/>
    <row r="25" ht="16.78" customHeight="1">
      <c r="B25" s="17" t="inlineStr">
        <is>
          <t>22,000+ confirmed data breaches in 145 countries, collected from October 2024 to November 2025.</t>
        </is>
      </c>
    </row>
    <row r="26" ht="8" customHeight="1"/>
    <row r="27" ht="38" customHeight="1">
      <c r="B27" s="52" t="n">
        <v>0.31</v>
      </c>
      <c r="C27" s="52" t="n">
        <v>0.48</v>
      </c>
      <c r="D27" s="13" t="n"/>
      <c r="E27" s="13" t="n"/>
      <c r="G27" s="52" t="n">
        <v>0.62</v>
      </c>
      <c r="H27" s="13" t="n"/>
      <c r="I27" s="13" t="n"/>
      <c r="J27" s="52" t="n">
        <v>0.4</v>
      </c>
      <c r="K27" s="13" t="n"/>
      <c r="L27" s="13" t="n"/>
      <c r="M27" s="13" t="n"/>
    </row>
    <row r="28" ht="40" customHeight="1">
      <c r="B28" s="14" t="inlineStr">
        <is>
          <t>of breaches now start by exploiting a software vulnerability – the #1 way in</t>
        </is>
      </c>
      <c r="C28" s="14" t="inlineStr">
        <is>
          <t>of breaches involve ransomware (up from 44%)</t>
        </is>
      </c>
      <c r="D28" s="9" t="n"/>
      <c r="E28" s="9" t="n"/>
      <c r="G28" s="14" t="inlineStr">
        <is>
          <t>involve the human element: a mistake, a click, a scam</t>
        </is>
      </c>
      <c r="H28" s="9" t="n"/>
      <c r="I28" s="9" t="n"/>
      <c r="J28" s="14" t="inlineStr">
        <is>
          <t>higher click rates on phone-based scams (texts, calls) than on email</t>
        </is>
      </c>
      <c r="K28" s="9" t="n"/>
      <c r="L28" s="9" t="n"/>
      <c r="M28" s="9" t="n"/>
    </row>
    <row r="29"/>
    <row r="30" ht="22" customHeight="1">
      <c r="B30" t="inlineStr">
        <is>
          <r>
            <rPr>
              <rFont val="Arial"/>
              <b val="1"/>
              <color rgb="0017324D"/>
              <sz val="10"/>
            </rPr>
            <t>How breaches start</t>
          </r>
          <r>
            <rPr>
              <rFont val="Arial"/>
              <color rgb="00898781"/>
              <sz val="10"/>
            </rPr>
            <t xml:space="preserve">   known initial access vectors, % of breaches</t>
          </r>
        </is>
      </c>
    </row>
    <row r="31" ht="20" customHeight="1">
      <c r="B31" s="53" t="inlineStr"/>
      <c r="C31" s="54" t="inlineStr">
        <is>
          <t>2025 DBIR</t>
        </is>
      </c>
      <c r="D31" s="54" t="inlineStr">
        <is>
          <t>2026 DBIR</t>
        </is>
      </c>
    </row>
    <row r="32" ht="22.2" customHeight="1">
      <c r="B32" s="46" t="inlineStr">
        <is>
          <t>Exploiting a vulnerability</t>
        </is>
      </c>
      <c r="C32" s="55" t="n">
        <v>0.2</v>
      </c>
      <c r="D32" s="56" t="n">
        <v>0.31</v>
      </c>
    </row>
    <row r="33" ht="22.2" customHeight="1">
      <c r="B33" s="46" t="inlineStr">
        <is>
          <t>Phishing</t>
        </is>
      </c>
      <c r="C33" s="55" t="n">
        <v>0.16</v>
      </c>
      <c r="D33" s="56" t="n">
        <v>0.16</v>
      </c>
    </row>
    <row r="34" ht="22.2" customHeight="1">
      <c r="B34" s="46" t="inlineStr">
        <is>
          <t>Credential abuse (stolen/guessed passwords)</t>
        </is>
      </c>
      <c r="C34" s="55" t="n">
        <v>0.22</v>
      </c>
      <c r="D34" s="56" t="n">
        <v>0.13</v>
      </c>
    </row>
    <row r="35" ht="15.36" customHeight="1">
      <c r="B35" s="57" t="inlineStr">
        <is>
          <t>Source: Verizon DBIR 2025 and 2026. Pretexting (fake-scenario scams) added another 6% in 2026.</t>
        </is>
      </c>
    </row>
    <row r="36"/>
    <row r="37"/>
    <row r="38"/>
    <row r="39"/>
    <row r="40"/>
    <row r="41"/>
    <row r="42"/>
    <row r="43" ht="22" customHeight="1">
      <c r="B43" t="inlineStr">
        <is>
          <r>
            <rPr>
              <rFont val="Arial"/>
              <b val="1"/>
              <color rgb="0017324D"/>
              <sz val="10"/>
            </rPr>
            <t>The bigger picture</t>
          </r>
          <r>
            <rPr>
              <rFont val="Arial"/>
              <color rgb="00898781"/>
              <sz val="10"/>
            </rPr>
            <t xml:space="preserve">   % of breaches</t>
          </r>
        </is>
      </c>
    </row>
    <row r="44" ht="20" customHeight="1">
      <c r="B44" s="53" t="inlineStr"/>
      <c r="C44" s="54" t="inlineStr">
        <is>
          <t>2025 DBIR</t>
        </is>
      </c>
      <c r="D44" s="54" t="inlineStr">
        <is>
          <t>2026 DBIR</t>
        </is>
      </c>
    </row>
    <row r="45" ht="22.2" customHeight="1">
      <c r="B45" s="46" t="inlineStr">
        <is>
          <t>Ransomware present</t>
        </is>
      </c>
      <c r="C45" s="55" t="n">
        <v>0.44</v>
      </c>
      <c r="D45" s="56" t="n">
        <v>0.48</v>
      </c>
    </row>
    <row r="46" ht="22.2" customHeight="1">
      <c r="B46" s="46" t="inlineStr">
        <is>
          <t>Human element involved</t>
        </is>
      </c>
      <c r="C46" s="55" t="n">
        <v>0.6</v>
      </c>
      <c r="D46" s="56" t="n">
        <v>0.62</v>
      </c>
    </row>
    <row r="47" ht="22.2" customHeight="1">
      <c r="B47" s="46" t="inlineStr">
        <is>
          <t>Third party involved</t>
        </is>
      </c>
      <c r="C47" s="55" t="n">
        <v>0.3</v>
      </c>
      <c r="D47" s="56" t="n">
        <v>0.48</v>
      </c>
    </row>
    <row r="48" ht="15.36" customHeight="1">
      <c r="B48" s="57" t="inlineStr">
        <is>
          <t>Source: Verizon DBIR 2025 and 2026 executive summaries (2025 human element reported as “around 60%”).</t>
        </is>
      </c>
    </row>
    <row r="49"/>
    <row r="50"/>
    <row r="51"/>
    <row r="52"/>
    <row r="53"/>
    <row r="54"/>
    <row r="55"/>
    <row r="56" ht="26" customHeight="1">
      <c r="B56" s="6" t="inlineStr">
        <is>
          <t>Small and medium-sized businesses (2026 DBIR)</t>
        </is>
      </c>
      <c r="C56" s="7" t="n"/>
      <c r="D56" s="7" t="n"/>
      <c r="E56" s="7" t="n"/>
      <c r="F56" s="7" t="n"/>
      <c r="G56" s="7" t="n"/>
      <c r="H56" s="7" t="n"/>
      <c r="I56" s="7" t="n"/>
      <c r="J56" s="7" t="n"/>
      <c r="K56" s="7" t="n"/>
      <c r="L56" s="7" t="n"/>
      <c r="M56" s="7" t="n"/>
    </row>
    <row r="57" ht="6" customHeight="1"/>
    <row r="58" ht="19.2" customHeight="1">
      <c r="B58" s="22" t="inlineStr">
        <is>
          <r>
            <rPr>
              <rFont val="Arial"/>
              <b val="1"/>
              <color rgb="002A78D6"/>
              <sz val="10"/>
            </rPr>
            <t xml:space="preserve">•  </t>
          </r>
          <r>
            <rPr>
              <rFont val="Arial"/>
              <color rgb="001F2933"/>
              <sz val="10"/>
            </rPr>
            <t>Initial access: exploiting vulnerabilities 26%, credential abuse 13%, phishing 9%.</t>
          </r>
        </is>
      </c>
    </row>
    <row r="59" ht="19.2" customHeight="1">
      <c r="B59" s="22" t="inlineStr">
        <is>
          <r>
            <rPr>
              <rFont val="Arial"/>
              <b val="1"/>
              <color rgb="002A78D6"/>
              <sz val="10"/>
            </rPr>
            <t xml:space="preserve">•  </t>
          </r>
          <r>
            <rPr>
              <rFont val="Arial"/>
              <color rgb="001F2933"/>
              <sz val="10"/>
            </rPr>
            <t>Every SMB breach in the dataset came from outside attackers, and all were financially motivated.</t>
          </r>
        </is>
      </c>
    </row>
    <row r="60" ht="19.2" customHeight="1">
      <c r="B60" s="22" t="inlineStr">
        <is>
          <r>
            <rPr>
              <rFont val="Arial"/>
              <b val="1"/>
              <color rgb="002A78D6"/>
              <sz val="10"/>
            </rPr>
            <t xml:space="preserve">•  </t>
          </r>
          <r>
            <rPr>
              <rFont val="Arial"/>
              <color rgb="001F2933"/>
              <sz val="10"/>
            </rPr>
            <t>Small organizations are disproportionately hit by ransomware – the 2025 DBIR found it in 88% of SMB breaches.</t>
          </r>
        </is>
      </c>
    </row>
    <row r="61" ht="6" customHeight="1"/>
    <row r="62">
      <c r="B62" s="29" t="inlineStr">
        <is>
          <t>Read the full 2026 DBIR  →</t>
        </is>
      </c>
    </row>
  </sheetData>
  <mergeCells count="26">
    <mergeCell ref="L2:M2"/>
    <mergeCell ref="G28:I28"/>
    <mergeCell ref="B60:M60"/>
    <mergeCell ref="B17:M17"/>
    <mergeCell ref="C27:E27"/>
    <mergeCell ref="B35:E35"/>
    <mergeCell ref="B19:M19"/>
    <mergeCell ref="C10:M10"/>
    <mergeCell ref="C9:M9"/>
    <mergeCell ref="B27"/>
    <mergeCell ref="B6:M6"/>
    <mergeCell ref="J28:M28"/>
    <mergeCell ref="B15:M15"/>
    <mergeCell ref="C28:E28"/>
    <mergeCell ref="B48:E48"/>
    <mergeCell ref="C11:M11"/>
    <mergeCell ref="J27:M27"/>
    <mergeCell ref="C8:M8"/>
    <mergeCell ref="B16:M16"/>
    <mergeCell ref="B25:M25"/>
    <mergeCell ref="G27:I27"/>
    <mergeCell ref="B59:M59"/>
    <mergeCell ref="B18:M18"/>
    <mergeCell ref="B28"/>
    <mergeCell ref="B58:M58"/>
    <mergeCell ref="B21:M21"/>
  </mergeCells>
  <hyperlinks>
    <hyperlink ref="L2" location="'Start Here'!A1" display="Start Here"/>
    <hyperlink xmlns:r="http://schemas.openxmlformats.org/officeDocument/2006/relationships" ref="B62" r:id="rId1"/>
  </hyperlinks>
  <pageMargins left="0.4" right="0.4" top="0.5" bottom="0.5" header="0.5" footer="0.5"/>
  <pageSetup orientation="landscape" fitToHeight="0" fitToWidth="1"/>
  <drawing xmlns:r="http://schemas.openxmlformats.org/officeDocument/2006/relationships" r:id="rId2"/>
</worksheet>
</file>

<file path=xl/worksheets/sheet5.xml><?xml version="1.0" encoding="utf-8"?>
<worksheet xmlns="http://schemas.openxmlformats.org/spreadsheetml/2006/main">
  <sheetPr>
    <tabColor rgb="002A78D6"/>
    <outlinePr summaryBelow="1" summaryRight="1"/>
    <pageSetUpPr fitToPage="1"/>
  </sheetPr>
  <dimension ref="A1:P207"/>
  <sheetViews>
    <sheetView showGridLines="0" zoomScale="10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1.5" customWidth="1" min="3" max="3"/>
    <col width="10.5" customWidth="1" min="4" max="4"/>
    <col width="10" customWidth="1" min="5" max="5"/>
    <col width="12" customWidth="1" min="6" max="6"/>
    <col width="13.5" customWidth="1" min="7" max="7"/>
    <col width="12" customWidth="1" min="8" max="8"/>
    <col width="13" customWidth="1" min="9" max="9"/>
    <col width="8" customWidth="1" min="10" max="10"/>
    <col width="11" customWidth="1" min="11" max="11"/>
    <col width="12.5" customWidth="1" min="12" max="12"/>
    <col width="13" customWidth="1" min="13" max="13"/>
    <col width="9.5" customWidth="1" min="14" max="14"/>
    <col width="14.5" customWidth="1" min="15" max="15"/>
    <col width="2.5" customWidth="1" min="16" max="16"/>
  </cols>
  <sheetData>
    <row r="1" ht="10" customHeight="1">
      <c r="A1" s="1" t="n"/>
      <c r="B1" s="1" t="n"/>
      <c r="C1" s="1" t="n"/>
      <c r="D1" s="1" t="n"/>
      <c r="E1" s="1" t="n"/>
      <c r="F1" s="1" t="n"/>
      <c r="G1" s="1" t="n"/>
      <c r="H1" s="1" t="n"/>
      <c r="I1" s="1" t="n"/>
      <c r="J1" s="1" t="n"/>
      <c r="K1" s="1" t="n"/>
      <c r="L1" s="1" t="n"/>
      <c r="M1" s="1" t="n"/>
      <c r="N1" s="1" t="n"/>
      <c r="O1" s="1" t="n"/>
      <c r="P1" s="1" t="n"/>
    </row>
    <row r="2" ht="34" customHeight="1">
      <c r="A2" s="1" t="n"/>
      <c r="B2" s="2" t="inlineStr">
        <is>
          <t>Devices</t>
        </is>
      </c>
      <c r="C2" s="1" t="n"/>
      <c r="D2" s="1" t="n"/>
      <c r="E2" s="1" t="n"/>
      <c r="F2" s="1" t="n"/>
      <c r="G2" s="1" t="n"/>
      <c r="H2" s="1" t="n"/>
      <c r="I2" s="1" t="n"/>
      <c r="J2" s="1" t="n"/>
      <c r="K2" s="1" t="n"/>
      <c r="L2" s="1" t="n"/>
      <c r="M2" s="1" t="n"/>
      <c r="N2" s="1" t="n"/>
      <c r="O2" s="31" t="inlineStr">
        <is>
          <t>← Start Here</t>
        </is>
      </c>
      <c r="P2" s="1" t="n"/>
    </row>
    <row r="3" ht="20" customHeight="1">
      <c r="A3" s="1" t="n"/>
      <c r="B3" s="3" t="inlineStr">
        <is>
          <t>Everything you own or manage that could be a way in</t>
        </is>
      </c>
      <c r="C3" s="1" t="n"/>
      <c r="D3" s="1" t="n"/>
      <c r="E3" s="1" t="n"/>
      <c r="F3" s="1" t="n"/>
      <c r="G3" s="1" t="n"/>
      <c r="H3" s="1" t="n"/>
      <c r="I3" s="1" t="n"/>
      <c r="J3" s="1" t="n"/>
      <c r="K3" s="1" t="n"/>
      <c r="L3" s="1" t="n"/>
      <c r="M3" s="1" t="n"/>
      <c r="N3" s="1" t="n"/>
      <c r="O3" s="1" t="n"/>
      <c r="P3" s="1" t="n"/>
    </row>
    <row r="4" ht="12" customHeight="1">
      <c r="A4" s="1" t="n"/>
      <c r="B4" s="1" t="n"/>
      <c r="C4" s="1" t="n"/>
      <c r="D4" s="1" t="n"/>
      <c r="E4" s="1" t="n"/>
      <c r="F4" s="1" t="n"/>
      <c r="G4" s="1" t="n"/>
      <c r="H4" s="1" t="n"/>
      <c r="I4" s="1" t="n"/>
      <c r="J4" s="1" t="n"/>
      <c r="K4" s="1" t="n"/>
      <c r="L4" s="1" t="n"/>
      <c r="M4" s="1" t="n"/>
      <c r="N4" s="1" t="n"/>
      <c r="O4" s="1" t="n"/>
      <c r="P4" s="1" t="n"/>
    </row>
    <row r="5" ht="32.2" customHeight="1">
      <c r="B5" s="58" t="inlineStr">
        <is>
          <t>List every device: phones, laptops, desktops, tablets, routers, smart-home gear, NAS, consoles. Order this by security category. Pick answers from the dropdowns; hover a column header for tips.</t>
        </is>
      </c>
    </row>
    <row r="6" ht="40.4" customHeight="1">
      <c r="B6" s="59" t="inlineStr">
        <is>
          <t>Device</t>
        </is>
      </c>
      <c r="C6" s="60" t="inlineStr">
        <is>
          <t>Security Category</t>
        </is>
      </c>
      <c r="D6" s="60" t="inlineStr">
        <is>
          <t>Infected</t>
        </is>
      </c>
      <c r="E6" s="60" t="inlineStr">
        <is>
          <t>Backup</t>
        </is>
      </c>
      <c r="F6" s="60" t="inlineStr">
        <is>
          <t>Password Protected</t>
        </is>
      </c>
      <c r="G6" s="60" t="inlineStr">
        <is>
          <t>Password Complexity</t>
        </is>
      </c>
      <c r="H6" s="60" t="inlineStr">
        <is>
          <t>Unique Password</t>
        </is>
      </c>
      <c r="I6" s="60" t="inlineStr">
        <is>
          <t>OS Encryption</t>
        </is>
      </c>
      <c r="J6" s="60" t="inlineStr">
        <is>
          <t>STIG</t>
        </is>
      </c>
      <c r="K6" s="60" t="inlineStr">
        <is>
          <t>Physical Security</t>
        </is>
      </c>
      <c r="L6" s="60" t="inlineStr">
        <is>
          <t>Automatic Updates</t>
        </is>
      </c>
      <c r="M6" s="60" t="inlineStr">
        <is>
          <t>Still Supported</t>
        </is>
      </c>
      <c r="N6" s="60" t="inlineStr">
        <is>
          <t>Gaps</t>
        </is>
      </c>
      <c r="O6" s="60" t="inlineStr">
        <is>
          <t>Priority</t>
        </is>
      </c>
    </row>
    <row r="7" ht="20" customHeight="1">
      <c r="B7" s="61" t="inlineStr">
        <is>
          <t>Example: personal laptop</t>
        </is>
      </c>
      <c r="C7" s="62" t="inlineStr">
        <is>
          <t>High</t>
        </is>
      </c>
      <c r="D7" s="62" t="inlineStr">
        <is>
          <t>No</t>
        </is>
      </c>
      <c r="E7" s="62" t="inlineStr">
        <is>
          <t>Yes</t>
        </is>
      </c>
      <c r="F7" s="62" t="inlineStr">
        <is>
          <t>Yes</t>
        </is>
      </c>
      <c r="G7" s="62" t="inlineStr">
        <is>
          <t>Complex</t>
        </is>
      </c>
      <c r="H7" s="62" t="inlineStr">
        <is>
          <t>Yes</t>
        </is>
      </c>
      <c r="I7" s="62" t="inlineStr">
        <is>
          <t>Yes</t>
        </is>
      </c>
      <c r="J7" s="62" t="inlineStr">
        <is>
          <t>No</t>
        </is>
      </c>
      <c r="K7" s="62" t="inlineStr">
        <is>
          <t>Yes</t>
        </is>
      </c>
      <c r="L7" s="62" t="inlineStr">
        <is>
          <t>Yes</t>
        </is>
      </c>
      <c r="M7" s="62" t="inlineStr">
        <is>
          <t>Yes</t>
        </is>
      </c>
      <c r="N7" s="63">
        <f>IF(B7="","",(D7="Yes")+(E7="No")+(F7="No")+(G7="Weak")+(H7="No")+(I7="No")+(J7="No")+(K7="No")+(L7="No")+(M7="No"))</f>
        <v/>
      </c>
      <c r="O7" s="64">
        <f>IF(B7="","",IF(N7=0,"Done",IF(C7="High","Fix first",IF(C7="Moderate","Fix next",IF(C7="Low","Later","Set category")))))</f>
        <v/>
      </c>
    </row>
    <row r="8" ht="20" customHeight="1">
      <c r="B8" s="65" t="n"/>
      <c r="C8" s="66" t="n"/>
      <c r="D8" s="66" t="n"/>
      <c r="E8" s="66" t="n"/>
      <c r="F8" s="66" t="n"/>
      <c r="G8" s="66" t="n"/>
      <c r="H8" s="66" t="n"/>
      <c r="I8" s="66" t="n"/>
      <c r="J8" s="66" t="n"/>
      <c r="K8" s="66" t="n"/>
      <c r="L8" s="66" t="n"/>
      <c r="M8" s="66" t="n"/>
      <c r="N8" s="67">
        <f>IF(B8="","",(D8="Yes")+(E8="No")+(F8="No")+(G8="Weak")+(H8="No")+(I8="No")+(J8="No")+(K8="No")+(L8="No")+(M8="No"))</f>
        <v/>
      </c>
      <c r="O8" s="68">
        <f>IF(B8="","",IF(N8=0,"Done",IF(C8="High","Fix first",IF(C8="Moderate","Fix next",IF(C8="Low","Later","Set category")))))</f>
        <v/>
      </c>
    </row>
    <row r="9" ht="20" customHeight="1">
      <c r="B9" s="65" t="n"/>
      <c r="C9" s="66" t="n"/>
      <c r="D9" s="66" t="n"/>
      <c r="E9" s="66" t="n"/>
      <c r="F9" s="66" t="n"/>
      <c r="G9" s="66" t="n"/>
      <c r="H9" s="66" t="n"/>
      <c r="I9" s="66" t="n"/>
      <c r="J9" s="66" t="n"/>
      <c r="K9" s="66" t="n"/>
      <c r="L9" s="66" t="n"/>
      <c r="M9" s="66" t="n"/>
      <c r="N9" s="67">
        <f>IF(B9="","",(D9="Yes")+(E9="No")+(F9="No")+(G9="Weak")+(H9="No")+(I9="No")+(J9="No")+(K9="No")+(L9="No")+(M9="No"))</f>
        <v/>
      </c>
      <c r="O9" s="68">
        <f>IF(B9="","",IF(N9=0,"Done",IF(C9="High","Fix first",IF(C9="Moderate","Fix next",IF(C9="Low","Later","Set category")))))</f>
        <v/>
      </c>
    </row>
    <row r="10" ht="20" customHeight="1">
      <c r="B10" s="65" t="n"/>
      <c r="C10" s="66" t="n"/>
      <c r="D10" s="66" t="n"/>
      <c r="E10" s="66" t="n"/>
      <c r="F10" s="66" t="n"/>
      <c r="G10" s="66" t="n"/>
      <c r="H10" s="66" t="n"/>
      <c r="I10" s="66" t="n"/>
      <c r="J10" s="66" t="n"/>
      <c r="K10" s="66" t="n"/>
      <c r="L10" s="66" t="n"/>
      <c r="M10" s="66" t="n"/>
      <c r="N10" s="67">
        <f>IF(B10="","",(D10="Yes")+(E10="No")+(F10="No")+(G10="Weak")+(H10="No")+(I10="No")+(J10="No")+(K10="No")+(L10="No")+(M10="No"))</f>
        <v/>
      </c>
      <c r="O10" s="68">
        <f>IF(B10="","",IF(N10=0,"Done",IF(C10="High","Fix first",IF(C10="Moderate","Fix next",IF(C10="Low","Later","Set category")))))</f>
        <v/>
      </c>
    </row>
    <row r="11" ht="20" customHeight="1">
      <c r="B11" s="65" t="n"/>
      <c r="C11" s="66" t="n"/>
      <c r="D11" s="66" t="n"/>
      <c r="E11" s="66" t="n"/>
      <c r="F11" s="66" t="n"/>
      <c r="G11" s="66" t="n"/>
      <c r="H11" s="66" t="n"/>
      <c r="I11" s="66" t="n"/>
      <c r="J11" s="66" t="n"/>
      <c r="K11" s="66" t="n"/>
      <c r="L11" s="66" t="n"/>
      <c r="M11" s="66" t="n"/>
      <c r="N11" s="67">
        <f>IF(B11="","",(D11="Yes")+(E11="No")+(F11="No")+(G11="Weak")+(H11="No")+(I11="No")+(J11="No")+(K11="No")+(L11="No")+(M11="No"))</f>
        <v/>
      </c>
      <c r="O11" s="68">
        <f>IF(B11="","",IF(N11=0,"Done",IF(C11="High","Fix first",IF(C11="Moderate","Fix next",IF(C11="Low","Later","Set category")))))</f>
        <v/>
      </c>
    </row>
    <row r="12" ht="20" customHeight="1">
      <c r="B12" s="65" t="n"/>
      <c r="C12" s="66" t="n"/>
      <c r="D12" s="66" t="n"/>
      <c r="E12" s="66" t="n"/>
      <c r="F12" s="66" t="n"/>
      <c r="G12" s="66" t="n"/>
      <c r="H12" s="66" t="n"/>
      <c r="I12" s="66" t="n"/>
      <c r="J12" s="66" t="n"/>
      <c r="K12" s="66" t="n"/>
      <c r="L12" s="66" t="n"/>
      <c r="M12" s="66" t="n"/>
      <c r="N12" s="67">
        <f>IF(B12="","",(D12="Yes")+(E12="No")+(F12="No")+(G12="Weak")+(H12="No")+(I12="No")+(J12="No")+(K12="No")+(L12="No")+(M12="No"))</f>
        <v/>
      </c>
      <c r="O12" s="68">
        <f>IF(B12="","",IF(N12=0,"Done",IF(C12="High","Fix first",IF(C12="Moderate","Fix next",IF(C12="Low","Later","Set category")))))</f>
        <v/>
      </c>
    </row>
    <row r="13" ht="20" customHeight="1">
      <c r="B13" s="65" t="n"/>
      <c r="C13" s="66" t="n"/>
      <c r="D13" s="66" t="n"/>
      <c r="E13" s="66" t="n"/>
      <c r="F13" s="66" t="n"/>
      <c r="G13" s="66" t="n"/>
      <c r="H13" s="66" t="n"/>
      <c r="I13" s="66" t="n"/>
      <c r="J13" s="66" t="n"/>
      <c r="K13" s="66" t="n"/>
      <c r="L13" s="66" t="n"/>
      <c r="M13" s="66" t="n"/>
      <c r="N13" s="67">
        <f>IF(B13="","",(D13="Yes")+(E13="No")+(F13="No")+(G13="Weak")+(H13="No")+(I13="No")+(J13="No")+(K13="No")+(L13="No")+(M13="No"))</f>
        <v/>
      </c>
      <c r="O13" s="68">
        <f>IF(B13="","",IF(N13=0,"Done",IF(C13="High","Fix first",IF(C13="Moderate","Fix next",IF(C13="Low","Later","Set category")))))</f>
        <v/>
      </c>
    </row>
    <row r="14" ht="20" customHeight="1">
      <c r="B14" s="65" t="n"/>
      <c r="C14" s="66" t="n"/>
      <c r="D14" s="66" t="n"/>
      <c r="E14" s="66" t="n"/>
      <c r="F14" s="66" t="n"/>
      <c r="G14" s="66" t="n"/>
      <c r="H14" s="66" t="n"/>
      <c r="I14" s="66" t="n"/>
      <c r="J14" s="66" t="n"/>
      <c r="K14" s="66" t="n"/>
      <c r="L14" s="66" t="n"/>
      <c r="M14" s="66" t="n"/>
      <c r="N14" s="67">
        <f>IF(B14="","",(D14="Yes")+(E14="No")+(F14="No")+(G14="Weak")+(H14="No")+(I14="No")+(J14="No")+(K14="No")+(L14="No")+(M14="No"))</f>
        <v/>
      </c>
      <c r="O14" s="68">
        <f>IF(B14="","",IF(N14=0,"Done",IF(C14="High","Fix first",IF(C14="Moderate","Fix next",IF(C14="Low","Later","Set category")))))</f>
        <v/>
      </c>
    </row>
    <row r="15" ht="20" customHeight="1">
      <c r="B15" s="65" t="n"/>
      <c r="C15" s="66" t="n"/>
      <c r="D15" s="66" t="n"/>
      <c r="E15" s="66" t="n"/>
      <c r="F15" s="66" t="n"/>
      <c r="G15" s="66" t="n"/>
      <c r="H15" s="66" t="n"/>
      <c r="I15" s="66" t="n"/>
      <c r="J15" s="66" t="n"/>
      <c r="K15" s="66" t="n"/>
      <c r="L15" s="66" t="n"/>
      <c r="M15" s="66" t="n"/>
      <c r="N15" s="67">
        <f>IF(B15="","",(D15="Yes")+(E15="No")+(F15="No")+(G15="Weak")+(H15="No")+(I15="No")+(J15="No")+(K15="No")+(L15="No")+(M15="No"))</f>
        <v/>
      </c>
      <c r="O15" s="68">
        <f>IF(B15="","",IF(N15=0,"Done",IF(C15="High","Fix first",IF(C15="Moderate","Fix next",IF(C15="Low","Later","Set category")))))</f>
        <v/>
      </c>
    </row>
    <row r="16" ht="20" customHeight="1">
      <c r="B16" s="65" t="n"/>
      <c r="C16" s="66" t="n"/>
      <c r="D16" s="66" t="n"/>
      <c r="E16" s="66" t="n"/>
      <c r="F16" s="66" t="n"/>
      <c r="G16" s="66" t="n"/>
      <c r="H16" s="66" t="n"/>
      <c r="I16" s="66" t="n"/>
      <c r="J16" s="66" t="n"/>
      <c r="K16" s="66" t="n"/>
      <c r="L16" s="66" t="n"/>
      <c r="M16" s="66" t="n"/>
      <c r="N16" s="67">
        <f>IF(B16="","",(D16="Yes")+(E16="No")+(F16="No")+(G16="Weak")+(H16="No")+(I16="No")+(J16="No")+(K16="No")+(L16="No")+(M16="No"))</f>
        <v/>
      </c>
      <c r="O16" s="68">
        <f>IF(B16="","",IF(N16=0,"Done",IF(C16="High","Fix first",IF(C16="Moderate","Fix next",IF(C16="Low","Later","Set category")))))</f>
        <v/>
      </c>
    </row>
    <row r="17" ht="20" customHeight="1">
      <c r="B17" s="65" t="n"/>
      <c r="C17" s="66" t="n"/>
      <c r="D17" s="66" t="n"/>
      <c r="E17" s="66" t="n"/>
      <c r="F17" s="66" t="n"/>
      <c r="G17" s="66" t="n"/>
      <c r="H17" s="66" t="n"/>
      <c r="I17" s="66" t="n"/>
      <c r="J17" s="66" t="n"/>
      <c r="K17" s="66" t="n"/>
      <c r="L17" s="66" t="n"/>
      <c r="M17" s="66" t="n"/>
      <c r="N17" s="67">
        <f>IF(B17="","",(D17="Yes")+(E17="No")+(F17="No")+(G17="Weak")+(H17="No")+(I17="No")+(J17="No")+(K17="No")+(L17="No")+(M17="No"))</f>
        <v/>
      </c>
      <c r="O17" s="68">
        <f>IF(B17="","",IF(N17=0,"Done",IF(C17="High","Fix first",IF(C17="Moderate","Fix next",IF(C17="Low","Later","Set category")))))</f>
        <v/>
      </c>
    </row>
    <row r="18" ht="20" customHeight="1">
      <c r="B18" s="65" t="n"/>
      <c r="C18" s="66" t="n"/>
      <c r="D18" s="66" t="n"/>
      <c r="E18" s="66" t="n"/>
      <c r="F18" s="66" t="n"/>
      <c r="G18" s="66" t="n"/>
      <c r="H18" s="66" t="n"/>
      <c r="I18" s="66" t="n"/>
      <c r="J18" s="66" t="n"/>
      <c r="K18" s="66" t="n"/>
      <c r="L18" s="66" t="n"/>
      <c r="M18" s="66" t="n"/>
      <c r="N18" s="67">
        <f>IF(B18="","",(D18="Yes")+(E18="No")+(F18="No")+(G18="Weak")+(H18="No")+(I18="No")+(J18="No")+(K18="No")+(L18="No")+(M18="No"))</f>
        <v/>
      </c>
      <c r="O18" s="68">
        <f>IF(B18="","",IF(N18=0,"Done",IF(C18="High","Fix first",IF(C18="Moderate","Fix next",IF(C18="Low","Later","Set category")))))</f>
        <v/>
      </c>
    </row>
    <row r="19" ht="20" customHeight="1">
      <c r="B19" s="65" t="n"/>
      <c r="C19" s="66" t="n"/>
      <c r="D19" s="66" t="n"/>
      <c r="E19" s="66" t="n"/>
      <c r="F19" s="66" t="n"/>
      <c r="G19" s="66" t="n"/>
      <c r="H19" s="66" t="n"/>
      <c r="I19" s="66" t="n"/>
      <c r="J19" s="66" t="n"/>
      <c r="K19" s="66" t="n"/>
      <c r="L19" s="66" t="n"/>
      <c r="M19" s="66" t="n"/>
      <c r="N19" s="67">
        <f>IF(B19="","",(D19="Yes")+(E19="No")+(F19="No")+(G19="Weak")+(H19="No")+(I19="No")+(J19="No")+(K19="No")+(L19="No")+(M19="No"))</f>
        <v/>
      </c>
      <c r="O19" s="68">
        <f>IF(B19="","",IF(N19=0,"Done",IF(C19="High","Fix first",IF(C19="Moderate","Fix next",IF(C19="Low","Later","Set category")))))</f>
        <v/>
      </c>
    </row>
    <row r="20" ht="20" customHeight="1">
      <c r="B20" s="65" t="n"/>
      <c r="C20" s="66" t="n"/>
      <c r="D20" s="66" t="n"/>
      <c r="E20" s="66" t="n"/>
      <c r="F20" s="66" t="n"/>
      <c r="G20" s="66" t="n"/>
      <c r="H20" s="66" t="n"/>
      <c r="I20" s="66" t="n"/>
      <c r="J20" s="66" t="n"/>
      <c r="K20" s="66" t="n"/>
      <c r="L20" s="66" t="n"/>
      <c r="M20" s="66" t="n"/>
      <c r="N20" s="67">
        <f>IF(B20="","",(D20="Yes")+(E20="No")+(F20="No")+(G20="Weak")+(H20="No")+(I20="No")+(J20="No")+(K20="No")+(L20="No")+(M20="No"))</f>
        <v/>
      </c>
      <c r="O20" s="68">
        <f>IF(B20="","",IF(N20=0,"Done",IF(C20="High","Fix first",IF(C20="Moderate","Fix next",IF(C20="Low","Later","Set category")))))</f>
        <v/>
      </c>
    </row>
    <row r="21" ht="20" customHeight="1">
      <c r="B21" s="65" t="n"/>
      <c r="C21" s="66" t="n"/>
      <c r="D21" s="66" t="n"/>
      <c r="E21" s="66" t="n"/>
      <c r="F21" s="66" t="n"/>
      <c r="G21" s="66" t="n"/>
      <c r="H21" s="66" t="n"/>
      <c r="I21" s="66" t="n"/>
      <c r="J21" s="66" t="n"/>
      <c r="K21" s="66" t="n"/>
      <c r="L21" s="66" t="n"/>
      <c r="M21" s="66" t="n"/>
      <c r="N21" s="67">
        <f>IF(B21="","",(D21="Yes")+(E21="No")+(F21="No")+(G21="Weak")+(H21="No")+(I21="No")+(J21="No")+(K21="No")+(L21="No")+(M21="No"))</f>
        <v/>
      </c>
      <c r="O21" s="68">
        <f>IF(B21="","",IF(N21=0,"Done",IF(C21="High","Fix first",IF(C21="Moderate","Fix next",IF(C21="Low","Later","Set category")))))</f>
        <v/>
      </c>
    </row>
    <row r="22" ht="20" customHeight="1">
      <c r="B22" s="65" t="n"/>
      <c r="C22" s="66" t="n"/>
      <c r="D22" s="66" t="n"/>
      <c r="E22" s="66" t="n"/>
      <c r="F22" s="66" t="n"/>
      <c r="G22" s="66" t="n"/>
      <c r="H22" s="66" t="n"/>
      <c r="I22" s="66" t="n"/>
      <c r="J22" s="66" t="n"/>
      <c r="K22" s="66" t="n"/>
      <c r="L22" s="66" t="n"/>
      <c r="M22" s="66" t="n"/>
      <c r="N22" s="67">
        <f>IF(B22="","",(D22="Yes")+(E22="No")+(F22="No")+(G22="Weak")+(H22="No")+(I22="No")+(J22="No")+(K22="No")+(L22="No")+(M22="No"))</f>
        <v/>
      </c>
      <c r="O22" s="68">
        <f>IF(B22="","",IF(N22=0,"Done",IF(C22="High","Fix first",IF(C22="Moderate","Fix next",IF(C22="Low","Later","Set category")))))</f>
        <v/>
      </c>
    </row>
    <row r="23" ht="20" customHeight="1">
      <c r="B23" s="65" t="n"/>
      <c r="C23" s="66" t="n"/>
      <c r="D23" s="66" t="n"/>
      <c r="E23" s="66" t="n"/>
      <c r="F23" s="66" t="n"/>
      <c r="G23" s="66" t="n"/>
      <c r="H23" s="66" t="n"/>
      <c r="I23" s="66" t="n"/>
      <c r="J23" s="66" t="n"/>
      <c r="K23" s="66" t="n"/>
      <c r="L23" s="66" t="n"/>
      <c r="M23" s="66" t="n"/>
      <c r="N23" s="67">
        <f>IF(B23="","",(D23="Yes")+(E23="No")+(F23="No")+(G23="Weak")+(H23="No")+(I23="No")+(J23="No")+(K23="No")+(L23="No")+(M23="No"))</f>
        <v/>
      </c>
      <c r="O23" s="68">
        <f>IF(B23="","",IF(N23=0,"Done",IF(C23="High","Fix first",IF(C23="Moderate","Fix next",IF(C23="Low","Later","Set category")))))</f>
        <v/>
      </c>
    </row>
    <row r="24" ht="20" customHeight="1">
      <c r="B24" s="65" t="n"/>
      <c r="C24" s="66" t="n"/>
      <c r="D24" s="66" t="n"/>
      <c r="E24" s="66" t="n"/>
      <c r="F24" s="66" t="n"/>
      <c r="G24" s="66" t="n"/>
      <c r="H24" s="66" t="n"/>
      <c r="I24" s="66" t="n"/>
      <c r="J24" s="66" t="n"/>
      <c r="K24" s="66" t="n"/>
      <c r="L24" s="66" t="n"/>
      <c r="M24" s="66" t="n"/>
      <c r="N24" s="67">
        <f>IF(B24="","",(D24="Yes")+(E24="No")+(F24="No")+(G24="Weak")+(H24="No")+(I24="No")+(J24="No")+(K24="No")+(L24="No")+(M24="No"))</f>
        <v/>
      </c>
      <c r="O24" s="68">
        <f>IF(B24="","",IF(N24=0,"Done",IF(C24="High","Fix first",IF(C24="Moderate","Fix next",IF(C24="Low","Later","Set category")))))</f>
        <v/>
      </c>
    </row>
    <row r="25" ht="20" customHeight="1">
      <c r="B25" s="65" t="n"/>
      <c r="C25" s="66" t="n"/>
      <c r="D25" s="66" t="n"/>
      <c r="E25" s="66" t="n"/>
      <c r="F25" s="66" t="n"/>
      <c r="G25" s="66" t="n"/>
      <c r="H25" s="66" t="n"/>
      <c r="I25" s="66" t="n"/>
      <c r="J25" s="66" t="n"/>
      <c r="K25" s="66" t="n"/>
      <c r="L25" s="66" t="n"/>
      <c r="M25" s="66" t="n"/>
      <c r="N25" s="67">
        <f>IF(B25="","",(D25="Yes")+(E25="No")+(F25="No")+(G25="Weak")+(H25="No")+(I25="No")+(J25="No")+(K25="No")+(L25="No")+(M25="No"))</f>
        <v/>
      </c>
      <c r="O25" s="68">
        <f>IF(B25="","",IF(N25=0,"Done",IF(C25="High","Fix first",IF(C25="Moderate","Fix next",IF(C25="Low","Later","Set category")))))</f>
        <v/>
      </c>
    </row>
    <row r="26" ht="20" customHeight="1">
      <c r="B26" s="65" t="n"/>
      <c r="C26" s="66" t="n"/>
      <c r="D26" s="66" t="n"/>
      <c r="E26" s="66" t="n"/>
      <c r="F26" s="66" t="n"/>
      <c r="G26" s="66" t="n"/>
      <c r="H26" s="66" t="n"/>
      <c r="I26" s="66" t="n"/>
      <c r="J26" s="66" t="n"/>
      <c r="K26" s="66" t="n"/>
      <c r="L26" s="66" t="n"/>
      <c r="M26" s="66" t="n"/>
      <c r="N26" s="67">
        <f>IF(B26="","",(D26="Yes")+(E26="No")+(F26="No")+(G26="Weak")+(H26="No")+(I26="No")+(J26="No")+(K26="No")+(L26="No")+(M26="No"))</f>
        <v/>
      </c>
      <c r="O26" s="68">
        <f>IF(B26="","",IF(N26=0,"Done",IF(C26="High","Fix first",IF(C26="Moderate","Fix next",IF(C26="Low","Later","Set category")))))</f>
        <v/>
      </c>
    </row>
    <row r="27" ht="20" customHeight="1">
      <c r="B27" s="65" t="n"/>
      <c r="C27" s="66" t="n"/>
      <c r="D27" s="66" t="n"/>
      <c r="E27" s="66" t="n"/>
      <c r="F27" s="66" t="n"/>
      <c r="G27" s="66" t="n"/>
      <c r="H27" s="66" t="n"/>
      <c r="I27" s="66" t="n"/>
      <c r="J27" s="66" t="n"/>
      <c r="K27" s="66" t="n"/>
      <c r="L27" s="66" t="n"/>
      <c r="M27" s="66" t="n"/>
      <c r="N27" s="67">
        <f>IF(B27="","",(D27="Yes")+(E27="No")+(F27="No")+(G27="Weak")+(H27="No")+(I27="No")+(J27="No")+(K27="No")+(L27="No")+(M27="No"))</f>
        <v/>
      </c>
      <c r="O27" s="68">
        <f>IF(B27="","",IF(N27=0,"Done",IF(C27="High","Fix first",IF(C27="Moderate","Fix next",IF(C27="Low","Later","Set category")))))</f>
        <v/>
      </c>
    </row>
    <row r="28" ht="20" customHeight="1">
      <c r="B28" s="65" t="n"/>
      <c r="C28" s="66" t="n"/>
      <c r="D28" s="66" t="n"/>
      <c r="E28" s="66" t="n"/>
      <c r="F28" s="66" t="n"/>
      <c r="G28" s="66" t="n"/>
      <c r="H28" s="66" t="n"/>
      <c r="I28" s="66" t="n"/>
      <c r="J28" s="66" t="n"/>
      <c r="K28" s="66" t="n"/>
      <c r="L28" s="66" t="n"/>
      <c r="M28" s="66" t="n"/>
      <c r="N28" s="67">
        <f>IF(B28="","",(D28="Yes")+(E28="No")+(F28="No")+(G28="Weak")+(H28="No")+(I28="No")+(J28="No")+(K28="No")+(L28="No")+(M28="No"))</f>
        <v/>
      </c>
      <c r="O28" s="68">
        <f>IF(B28="","",IF(N28=0,"Done",IF(C28="High","Fix first",IF(C28="Moderate","Fix next",IF(C28="Low","Later","Set category")))))</f>
        <v/>
      </c>
    </row>
    <row r="29" ht="20" customHeight="1">
      <c r="B29" s="65" t="n"/>
      <c r="C29" s="66" t="n"/>
      <c r="D29" s="66" t="n"/>
      <c r="E29" s="66" t="n"/>
      <c r="F29" s="66" t="n"/>
      <c r="G29" s="66" t="n"/>
      <c r="H29" s="66" t="n"/>
      <c r="I29" s="66" t="n"/>
      <c r="J29" s="66" t="n"/>
      <c r="K29" s="66" t="n"/>
      <c r="L29" s="66" t="n"/>
      <c r="M29" s="66" t="n"/>
      <c r="N29" s="67">
        <f>IF(B29="","",(D29="Yes")+(E29="No")+(F29="No")+(G29="Weak")+(H29="No")+(I29="No")+(J29="No")+(K29="No")+(L29="No")+(M29="No"))</f>
        <v/>
      </c>
      <c r="O29" s="68">
        <f>IF(B29="","",IF(N29=0,"Done",IF(C29="High","Fix first",IF(C29="Moderate","Fix next",IF(C29="Low","Later","Set category")))))</f>
        <v/>
      </c>
    </row>
    <row r="30" ht="20" customHeight="1">
      <c r="B30" s="65" t="n"/>
      <c r="C30" s="66" t="n"/>
      <c r="D30" s="66" t="n"/>
      <c r="E30" s="66" t="n"/>
      <c r="F30" s="66" t="n"/>
      <c r="G30" s="66" t="n"/>
      <c r="H30" s="66" t="n"/>
      <c r="I30" s="66" t="n"/>
      <c r="J30" s="66" t="n"/>
      <c r="K30" s="66" t="n"/>
      <c r="L30" s="66" t="n"/>
      <c r="M30" s="66" t="n"/>
      <c r="N30" s="67">
        <f>IF(B30="","",(D30="Yes")+(E30="No")+(F30="No")+(G30="Weak")+(H30="No")+(I30="No")+(J30="No")+(K30="No")+(L30="No")+(M30="No"))</f>
        <v/>
      </c>
      <c r="O30" s="68">
        <f>IF(B30="","",IF(N30=0,"Done",IF(C30="High","Fix first",IF(C30="Moderate","Fix next",IF(C30="Low","Later","Set category")))))</f>
        <v/>
      </c>
    </row>
    <row r="31" ht="20" customHeight="1">
      <c r="B31" s="65" t="n"/>
      <c r="C31" s="66" t="n"/>
      <c r="D31" s="66" t="n"/>
      <c r="E31" s="66" t="n"/>
      <c r="F31" s="66" t="n"/>
      <c r="G31" s="66" t="n"/>
      <c r="H31" s="66" t="n"/>
      <c r="I31" s="66" t="n"/>
      <c r="J31" s="66" t="n"/>
      <c r="K31" s="66" t="n"/>
      <c r="L31" s="66" t="n"/>
      <c r="M31" s="66" t="n"/>
      <c r="N31" s="67">
        <f>IF(B31="","",(D31="Yes")+(E31="No")+(F31="No")+(G31="Weak")+(H31="No")+(I31="No")+(J31="No")+(K31="No")+(L31="No")+(M31="No"))</f>
        <v/>
      </c>
      <c r="O31" s="68">
        <f>IF(B31="","",IF(N31=0,"Done",IF(C31="High","Fix first",IF(C31="Moderate","Fix next",IF(C31="Low","Later","Set category")))))</f>
        <v/>
      </c>
    </row>
    <row r="32" ht="20" customHeight="1">
      <c r="B32" s="65" t="n"/>
      <c r="C32" s="66" t="n"/>
      <c r="D32" s="66" t="n"/>
      <c r="E32" s="66" t="n"/>
      <c r="F32" s="66" t="n"/>
      <c r="G32" s="66" t="n"/>
      <c r="H32" s="66" t="n"/>
      <c r="I32" s="66" t="n"/>
      <c r="J32" s="66" t="n"/>
      <c r="K32" s="66" t="n"/>
      <c r="L32" s="66" t="n"/>
      <c r="M32" s="66" t="n"/>
      <c r="N32" s="67">
        <f>IF(B32="","",(D32="Yes")+(E32="No")+(F32="No")+(G32="Weak")+(H32="No")+(I32="No")+(J32="No")+(K32="No")+(L32="No")+(M32="No"))</f>
        <v/>
      </c>
      <c r="O32" s="68">
        <f>IF(B32="","",IF(N32=0,"Done",IF(C32="High","Fix first",IF(C32="Moderate","Fix next",IF(C32="Low","Later","Set category")))))</f>
        <v/>
      </c>
    </row>
    <row r="33" ht="20" customHeight="1">
      <c r="B33" s="65" t="n"/>
      <c r="C33" s="66" t="n"/>
      <c r="D33" s="66" t="n"/>
      <c r="E33" s="66" t="n"/>
      <c r="F33" s="66" t="n"/>
      <c r="G33" s="66" t="n"/>
      <c r="H33" s="66" t="n"/>
      <c r="I33" s="66" t="n"/>
      <c r="J33" s="66" t="n"/>
      <c r="K33" s="66" t="n"/>
      <c r="L33" s="66" t="n"/>
      <c r="M33" s="66" t="n"/>
      <c r="N33" s="67">
        <f>IF(B33="","",(D33="Yes")+(E33="No")+(F33="No")+(G33="Weak")+(H33="No")+(I33="No")+(J33="No")+(K33="No")+(L33="No")+(M33="No"))</f>
        <v/>
      </c>
      <c r="O33" s="68">
        <f>IF(B33="","",IF(N33=0,"Done",IF(C33="High","Fix first",IF(C33="Moderate","Fix next",IF(C33="Low","Later","Set category")))))</f>
        <v/>
      </c>
    </row>
    <row r="34" ht="20" customHeight="1">
      <c r="B34" s="65" t="n"/>
      <c r="C34" s="66" t="n"/>
      <c r="D34" s="66" t="n"/>
      <c r="E34" s="66" t="n"/>
      <c r="F34" s="66" t="n"/>
      <c r="G34" s="66" t="n"/>
      <c r="H34" s="66" t="n"/>
      <c r="I34" s="66" t="n"/>
      <c r="J34" s="66" t="n"/>
      <c r="K34" s="66" t="n"/>
      <c r="L34" s="66" t="n"/>
      <c r="M34" s="66" t="n"/>
      <c r="N34" s="67">
        <f>IF(B34="","",(D34="Yes")+(E34="No")+(F34="No")+(G34="Weak")+(H34="No")+(I34="No")+(J34="No")+(K34="No")+(L34="No")+(M34="No"))</f>
        <v/>
      </c>
      <c r="O34" s="68">
        <f>IF(B34="","",IF(N34=0,"Done",IF(C34="High","Fix first",IF(C34="Moderate","Fix next",IF(C34="Low","Later","Set category")))))</f>
        <v/>
      </c>
    </row>
    <row r="35" ht="20" customHeight="1">
      <c r="B35" s="65" t="n"/>
      <c r="C35" s="66" t="n"/>
      <c r="D35" s="66" t="n"/>
      <c r="E35" s="66" t="n"/>
      <c r="F35" s="66" t="n"/>
      <c r="G35" s="66" t="n"/>
      <c r="H35" s="66" t="n"/>
      <c r="I35" s="66" t="n"/>
      <c r="J35" s="66" t="n"/>
      <c r="K35" s="66" t="n"/>
      <c r="L35" s="66" t="n"/>
      <c r="M35" s="66" t="n"/>
      <c r="N35" s="67">
        <f>IF(B35="","",(D35="Yes")+(E35="No")+(F35="No")+(G35="Weak")+(H35="No")+(I35="No")+(J35="No")+(K35="No")+(L35="No")+(M35="No"))</f>
        <v/>
      </c>
      <c r="O35" s="68">
        <f>IF(B35="","",IF(N35=0,"Done",IF(C35="High","Fix first",IF(C35="Moderate","Fix next",IF(C35="Low","Later","Set category")))))</f>
        <v/>
      </c>
    </row>
    <row r="36" ht="20" customHeight="1">
      <c r="B36" s="65" t="n"/>
      <c r="C36" s="66" t="n"/>
      <c r="D36" s="66" t="n"/>
      <c r="E36" s="66" t="n"/>
      <c r="F36" s="66" t="n"/>
      <c r="G36" s="66" t="n"/>
      <c r="H36" s="66" t="n"/>
      <c r="I36" s="66" t="n"/>
      <c r="J36" s="66" t="n"/>
      <c r="K36" s="66" t="n"/>
      <c r="L36" s="66" t="n"/>
      <c r="M36" s="66" t="n"/>
      <c r="N36" s="67">
        <f>IF(B36="","",(D36="Yes")+(E36="No")+(F36="No")+(G36="Weak")+(H36="No")+(I36="No")+(J36="No")+(K36="No")+(L36="No")+(M36="No"))</f>
        <v/>
      </c>
      <c r="O36" s="68">
        <f>IF(B36="","",IF(N36=0,"Done",IF(C36="High","Fix first",IF(C36="Moderate","Fix next",IF(C36="Low","Later","Set category")))))</f>
        <v/>
      </c>
    </row>
    <row r="37" ht="20" customHeight="1">
      <c r="B37" s="65" t="n"/>
      <c r="C37" s="66" t="n"/>
      <c r="D37" s="66" t="n"/>
      <c r="E37" s="66" t="n"/>
      <c r="F37" s="66" t="n"/>
      <c r="G37" s="66" t="n"/>
      <c r="H37" s="66" t="n"/>
      <c r="I37" s="66" t="n"/>
      <c r="J37" s="66" t="n"/>
      <c r="K37" s="66" t="n"/>
      <c r="L37" s="66" t="n"/>
      <c r="M37" s="66" t="n"/>
      <c r="N37" s="67">
        <f>IF(B37="","",(D37="Yes")+(E37="No")+(F37="No")+(G37="Weak")+(H37="No")+(I37="No")+(J37="No")+(K37="No")+(L37="No")+(M37="No"))</f>
        <v/>
      </c>
      <c r="O37" s="68">
        <f>IF(B37="","",IF(N37=0,"Done",IF(C37="High","Fix first",IF(C37="Moderate","Fix next",IF(C37="Low","Later","Set category")))))</f>
        <v/>
      </c>
    </row>
    <row r="38" ht="20" customHeight="1">
      <c r="B38" s="65" t="n"/>
      <c r="C38" s="66" t="n"/>
      <c r="D38" s="66" t="n"/>
      <c r="E38" s="66" t="n"/>
      <c r="F38" s="66" t="n"/>
      <c r="G38" s="66" t="n"/>
      <c r="H38" s="66" t="n"/>
      <c r="I38" s="66" t="n"/>
      <c r="J38" s="66" t="n"/>
      <c r="K38" s="66" t="n"/>
      <c r="L38" s="66" t="n"/>
      <c r="M38" s="66" t="n"/>
      <c r="N38" s="67">
        <f>IF(B38="","",(D38="Yes")+(E38="No")+(F38="No")+(G38="Weak")+(H38="No")+(I38="No")+(J38="No")+(K38="No")+(L38="No")+(M38="No"))</f>
        <v/>
      </c>
      <c r="O38" s="68">
        <f>IF(B38="","",IF(N38=0,"Done",IF(C38="High","Fix first",IF(C38="Moderate","Fix next",IF(C38="Low","Later","Set category")))))</f>
        <v/>
      </c>
    </row>
    <row r="39" ht="20" customHeight="1">
      <c r="B39" s="65" t="n"/>
      <c r="C39" s="66" t="n"/>
      <c r="D39" s="66" t="n"/>
      <c r="E39" s="66" t="n"/>
      <c r="F39" s="66" t="n"/>
      <c r="G39" s="66" t="n"/>
      <c r="H39" s="66" t="n"/>
      <c r="I39" s="66" t="n"/>
      <c r="J39" s="66" t="n"/>
      <c r="K39" s="66" t="n"/>
      <c r="L39" s="66" t="n"/>
      <c r="M39" s="66" t="n"/>
      <c r="N39" s="67">
        <f>IF(B39="","",(D39="Yes")+(E39="No")+(F39="No")+(G39="Weak")+(H39="No")+(I39="No")+(J39="No")+(K39="No")+(L39="No")+(M39="No"))</f>
        <v/>
      </c>
      <c r="O39" s="68">
        <f>IF(B39="","",IF(N39=0,"Done",IF(C39="High","Fix first",IF(C39="Moderate","Fix next",IF(C39="Low","Later","Set category")))))</f>
        <v/>
      </c>
    </row>
    <row r="40" ht="20" customHeight="1">
      <c r="B40" s="65" t="n"/>
      <c r="C40" s="66" t="n"/>
      <c r="D40" s="66" t="n"/>
      <c r="E40" s="66" t="n"/>
      <c r="F40" s="66" t="n"/>
      <c r="G40" s="66" t="n"/>
      <c r="H40" s="66" t="n"/>
      <c r="I40" s="66" t="n"/>
      <c r="J40" s="66" t="n"/>
      <c r="K40" s="66" t="n"/>
      <c r="L40" s="66" t="n"/>
      <c r="M40" s="66" t="n"/>
      <c r="N40" s="67">
        <f>IF(B40="","",(D40="Yes")+(E40="No")+(F40="No")+(G40="Weak")+(H40="No")+(I40="No")+(J40="No")+(K40="No")+(L40="No")+(M40="No"))</f>
        <v/>
      </c>
      <c r="O40" s="68">
        <f>IF(B40="","",IF(N40=0,"Done",IF(C40="High","Fix first",IF(C40="Moderate","Fix next",IF(C40="Low","Later","Set category")))))</f>
        <v/>
      </c>
    </row>
    <row r="41" ht="20" customHeight="1">
      <c r="B41" s="65" t="n"/>
      <c r="C41" s="66" t="n"/>
      <c r="D41" s="66" t="n"/>
      <c r="E41" s="66" t="n"/>
      <c r="F41" s="66" t="n"/>
      <c r="G41" s="66" t="n"/>
      <c r="H41" s="66" t="n"/>
      <c r="I41" s="66" t="n"/>
      <c r="J41" s="66" t="n"/>
      <c r="K41" s="66" t="n"/>
      <c r="L41" s="66" t="n"/>
      <c r="M41" s="66" t="n"/>
      <c r="N41" s="67">
        <f>IF(B41="","",(D41="Yes")+(E41="No")+(F41="No")+(G41="Weak")+(H41="No")+(I41="No")+(J41="No")+(K41="No")+(L41="No")+(M41="No"))</f>
        <v/>
      </c>
      <c r="O41" s="68">
        <f>IF(B41="","",IF(N41=0,"Done",IF(C41="High","Fix first",IF(C41="Moderate","Fix next",IF(C41="Low","Later","Set category")))))</f>
        <v/>
      </c>
    </row>
    <row r="42" ht="20" customHeight="1">
      <c r="B42" s="65" t="n"/>
      <c r="C42" s="66" t="n"/>
      <c r="D42" s="66" t="n"/>
      <c r="E42" s="66" t="n"/>
      <c r="F42" s="66" t="n"/>
      <c r="G42" s="66" t="n"/>
      <c r="H42" s="66" t="n"/>
      <c r="I42" s="66" t="n"/>
      <c r="J42" s="66" t="n"/>
      <c r="K42" s="66" t="n"/>
      <c r="L42" s="66" t="n"/>
      <c r="M42" s="66" t="n"/>
      <c r="N42" s="67">
        <f>IF(B42="","",(D42="Yes")+(E42="No")+(F42="No")+(G42="Weak")+(H42="No")+(I42="No")+(J42="No")+(K42="No")+(L42="No")+(M42="No"))</f>
        <v/>
      </c>
      <c r="O42" s="68">
        <f>IF(B42="","",IF(N42=0,"Done",IF(C42="High","Fix first",IF(C42="Moderate","Fix next",IF(C42="Low","Later","Set category")))))</f>
        <v/>
      </c>
    </row>
    <row r="43" ht="20" customHeight="1">
      <c r="B43" s="65" t="n"/>
      <c r="C43" s="66" t="n"/>
      <c r="D43" s="66" t="n"/>
      <c r="E43" s="66" t="n"/>
      <c r="F43" s="66" t="n"/>
      <c r="G43" s="66" t="n"/>
      <c r="H43" s="66" t="n"/>
      <c r="I43" s="66" t="n"/>
      <c r="J43" s="66" t="n"/>
      <c r="K43" s="66" t="n"/>
      <c r="L43" s="66" t="n"/>
      <c r="M43" s="66" t="n"/>
      <c r="N43" s="67">
        <f>IF(B43="","",(D43="Yes")+(E43="No")+(F43="No")+(G43="Weak")+(H43="No")+(I43="No")+(J43="No")+(K43="No")+(L43="No")+(M43="No"))</f>
        <v/>
      </c>
      <c r="O43" s="68">
        <f>IF(B43="","",IF(N43=0,"Done",IF(C43="High","Fix first",IF(C43="Moderate","Fix next",IF(C43="Low","Later","Set category")))))</f>
        <v/>
      </c>
    </row>
    <row r="44" ht="20" customHeight="1">
      <c r="B44" s="65" t="n"/>
      <c r="C44" s="66" t="n"/>
      <c r="D44" s="66" t="n"/>
      <c r="E44" s="66" t="n"/>
      <c r="F44" s="66" t="n"/>
      <c r="G44" s="66" t="n"/>
      <c r="H44" s="66" t="n"/>
      <c r="I44" s="66" t="n"/>
      <c r="J44" s="66" t="n"/>
      <c r="K44" s="66" t="n"/>
      <c r="L44" s="66" t="n"/>
      <c r="M44" s="66" t="n"/>
      <c r="N44" s="67">
        <f>IF(B44="","",(D44="Yes")+(E44="No")+(F44="No")+(G44="Weak")+(H44="No")+(I44="No")+(J44="No")+(K44="No")+(L44="No")+(M44="No"))</f>
        <v/>
      </c>
      <c r="O44" s="68">
        <f>IF(B44="","",IF(N44=0,"Done",IF(C44="High","Fix first",IF(C44="Moderate","Fix next",IF(C44="Low","Later","Set category")))))</f>
        <v/>
      </c>
    </row>
    <row r="45" ht="20" customHeight="1">
      <c r="B45" s="65" t="n"/>
      <c r="C45" s="66" t="n"/>
      <c r="D45" s="66" t="n"/>
      <c r="E45" s="66" t="n"/>
      <c r="F45" s="66" t="n"/>
      <c r="G45" s="66" t="n"/>
      <c r="H45" s="66" t="n"/>
      <c r="I45" s="66" t="n"/>
      <c r="J45" s="66" t="n"/>
      <c r="K45" s="66" t="n"/>
      <c r="L45" s="66" t="n"/>
      <c r="M45" s="66" t="n"/>
      <c r="N45" s="67">
        <f>IF(B45="","",(D45="Yes")+(E45="No")+(F45="No")+(G45="Weak")+(H45="No")+(I45="No")+(J45="No")+(K45="No")+(L45="No")+(M45="No"))</f>
        <v/>
      </c>
      <c r="O45" s="68">
        <f>IF(B45="","",IF(N45=0,"Done",IF(C45="High","Fix first",IF(C45="Moderate","Fix next",IF(C45="Low","Later","Set category")))))</f>
        <v/>
      </c>
    </row>
    <row r="46" ht="20" customHeight="1">
      <c r="B46" s="65" t="n"/>
      <c r="C46" s="66" t="n"/>
      <c r="D46" s="66" t="n"/>
      <c r="E46" s="66" t="n"/>
      <c r="F46" s="66" t="n"/>
      <c r="G46" s="66" t="n"/>
      <c r="H46" s="66" t="n"/>
      <c r="I46" s="66" t="n"/>
      <c r="J46" s="66" t="n"/>
      <c r="K46" s="66" t="n"/>
      <c r="L46" s="66" t="n"/>
      <c r="M46" s="66" t="n"/>
      <c r="N46" s="67">
        <f>IF(B46="","",(D46="Yes")+(E46="No")+(F46="No")+(G46="Weak")+(H46="No")+(I46="No")+(J46="No")+(K46="No")+(L46="No")+(M46="No"))</f>
        <v/>
      </c>
      <c r="O46" s="68">
        <f>IF(B46="","",IF(N46=0,"Done",IF(C46="High","Fix first",IF(C46="Moderate","Fix next",IF(C46="Low","Later","Set category")))))</f>
        <v/>
      </c>
    </row>
    <row r="47" ht="20" customHeight="1">
      <c r="B47" s="65" t="n"/>
      <c r="C47" s="66" t="n"/>
      <c r="D47" s="66" t="n"/>
      <c r="E47" s="66" t="n"/>
      <c r="F47" s="66" t="n"/>
      <c r="G47" s="66" t="n"/>
      <c r="H47" s="66" t="n"/>
      <c r="I47" s="66" t="n"/>
      <c r="J47" s="66" t="n"/>
      <c r="K47" s="66" t="n"/>
      <c r="L47" s="66" t="n"/>
      <c r="M47" s="66" t="n"/>
      <c r="N47" s="67">
        <f>IF(B47="","",(D47="Yes")+(E47="No")+(F47="No")+(G47="Weak")+(H47="No")+(I47="No")+(J47="No")+(K47="No")+(L47="No")+(M47="No"))</f>
        <v/>
      </c>
      <c r="O47" s="68">
        <f>IF(B47="","",IF(N47=0,"Done",IF(C47="High","Fix first",IF(C47="Moderate","Fix next",IF(C47="Low","Later","Set category")))))</f>
        <v/>
      </c>
    </row>
    <row r="48" ht="20" customHeight="1">
      <c r="B48" s="65" t="n"/>
      <c r="C48" s="66" t="n"/>
      <c r="D48" s="66" t="n"/>
      <c r="E48" s="66" t="n"/>
      <c r="F48" s="66" t="n"/>
      <c r="G48" s="66" t="n"/>
      <c r="H48" s="66" t="n"/>
      <c r="I48" s="66" t="n"/>
      <c r="J48" s="66" t="n"/>
      <c r="K48" s="66" t="n"/>
      <c r="L48" s="66" t="n"/>
      <c r="M48" s="66" t="n"/>
      <c r="N48" s="67">
        <f>IF(B48="","",(D48="Yes")+(E48="No")+(F48="No")+(G48="Weak")+(H48="No")+(I48="No")+(J48="No")+(K48="No")+(L48="No")+(M48="No"))</f>
        <v/>
      </c>
      <c r="O48" s="68">
        <f>IF(B48="","",IF(N48=0,"Done",IF(C48="High","Fix first",IF(C48="Moderate","Fix next",IF(C48="Low","Later","Set category")))))</f>
        <v/>
      </c>
    </row>
    <row r="49" ht="20" customHeight="1">
      <c r="B49" s="65" t="n"/>
      <c r="C49" s="66" t="n"/>
      <c r="D49" s="66" t="n"/>
      <c r="E49" s="66" t="n"/>
      <c r="F49" s="66" t="n"/>
      <c r="G49" s="66" t="n"/>
      <c r="H49" s="66" t="n"/>
      <c r="I49" s="66" t="n"/>
      <c r="J49" s="66" t="n"/>
      <c r="K49" s="66" t="n"/>
      <c r="L49" s="66" t="n"/>
      <c r="M49" s="66" t="n"/>
      <c r="N49" s="67">
        <f>IF(B49="","",(D49="Yes")+(E49="No")+(F49="No")+(G49="Weak")+(H49="No")+(I49="No")+(J49="No")+(K49="No")+(L49="No")+(M49="No"))</f>
        <v/>
      </c>
      <c r="O49" s="68">
        <f>IF(B49="","",IF(N49=0,"Done",IF(C49="High","Fix first",IF(C49="Moderate","Fix next",IF(C49="Low","Later","Set category")))))</f>
        <v/>
      </c>
    </row>
    <row r="50" ht="20" customHeight="1">
      <c r="B50" s="65" t="n"/>
      <c r="C50" s="66" t="n"/>
      <c r="D50" s="66" t="n"/>
      <c r="E50" s="66" t="n"/>
      <c r="F50" s="66" t="n"/>
      <c r="G50" s="66" t="n"/>
      <c r="H50" s="66" t="n"/>
      <c r="I50" s="66" t="n"/>
      <c r="J50" s="66" t="n"/>
      <c r="K50" s="66" t="n"/>
      <c r="L50" s="66" t="n"/>
      <c r="M50" s="66" t="n"/>
      <c r="N50" s="67">
        <f>IF(B50="","",(D50="Yes")+(E50="No")+(F50="No")+(G50="Weak")+(H50="No")+(I50="No")+(J50="No")+(K50="No")+(L50="No")+(M50="No"))</f>
        <v/>
      </c>
      <c r="O50" s="68">
        <f>IF(B50="","",IF(N50=0,"Done",IF(C50="High","Fix first",IF(C50="Moderate","Fix next",IF(C50="Low","Later","Set category")))))</f>
        <v/>
      </c>
    </row>
    <row r="51" ht="20" customHeight="1">
      <c r="B51" s="65" t="n"/>
      <c r="C51" s="66" t="n"/>
      <c r="D51" s="66" t="n"/>
      <c r="E51" s="66" t="n"/>
      <c r="F51" s="66" t="n"/>
      <c r="G51" s="66" t="n"/>
      <c r="H51" s="66" t="n"/>
      <c r="I51" s="66" t="n"/>
      <c r="J51" s="66" t="n"/>
      <c r="K51" s="66" t="n"/>
      <c r="L51" s="66" t="n"/>
      <c r="M51" s="66" t="n"/>
      <c r="N51" s="67">
        <f>IF(B51="","",(D51="Yes")+(E51="No")+(F51="No")+(G51="Weak")+(H51="No")+(I51="No")+(J51="No")+(K51="No")+(L51="No")+(M51="No"))</f>
        <v/>
      </c>
      <c r="O51" s="68">
        <f>IF(B51="","",IF(N51=0,"Done",IF(C51="High","Fix first",IF(C51="Moderate","Fix next",IF(C51="Low","Later","Set category")))))</f>
        <v/>
      </c>
    </row>
    <row r="52" ht="20" customHeight="1">
      <c r="B52" s="65" t="n"/>
      <c r="C52" s="66" t="n"/>
      <c r="D52" s="66" t="n"/>
      <c r="E52" s="66" t="n"/>
      <c r="F52" s="66" t="n"/>
      <c r="G52" s="66" t="n"/>
      <c r="H52" s="66" t="n"/>
      <c r="I52" s="66" t="n"/>
      <c r="J52" s="66" t="n"/>
      <c r="K52" s="66" t="n"/>
      <c r="L52" s="66" t="n"/>
      <c r="M52" s="66" t="n"/>
      <c r="N52" s="67">
        <f>IF(B52="","",(D52="Yes")+(E52="No")+(F52="No")+(G52="Weak")+(H52="No")+(I52="No")+(J52="No")+(K52="No")+(L52="No")+(M52="No"))</f>
        <v/>
      </c>
      <c r="O52" s="68">
        <f>IF(B52="","",IF(N52=0,"Done",IF(C52="High","Fix first",IF(C52="Moderate","Fix next",IF(C52="Low","Later","Set category")))))</f>
        <v/>
      </c>
    </row>
    <row r="53" ht="20" customHeight="1">
      <c r="B53" s="65" t="n"/>
      <c r="C53" s="66" t="n"/>
      <c r="D53" s="66" t="n"/>
      <c r="E53" s="66" t="n"/>
      <c r="F53" s="66" t="n"/>
      <c r="G53" s="66" t="n"/>
      <c r="H53" s="66" t="n"/>
      <c r="I53" s="66" t="n"/>
      <c r="J53" s="66" t="n"/>
      <c r="K53" s="66" t="n"/>
      <c r="L53" s="66" t="n"/>
      <c r="M53" s="66" t="n"/>
      <c r="N53" s="67">
        <f>IF(B53="","",(D53="Yes")+(E53="No")+(F53="No")+(G53="Weak")+(H53="No")+(I53="No")+(J53="No")+(K53="No")+(L53="No")+(M53="No"))</f>
        <v/>
      </c>
      <c r="O53" s="68">
        <f>IF(B53="","",IF(N53=0,"Done",IF(C53="High","Fix first",IF(C53="Moderate","Fix next",IF(C53="Low","Later","Set category")))))</f>
        <v/>
      </c>
    </row>
    <row r="54" ht="20" customHeight="1">
      <c r="B54" s="65" t="n"/>
      <c r="C54" s="66" t="n"/>
      <c r="D54" s="66" t="n"/>
      <c r="E54" s="66" t="n"/>
      <c r="F54" s="66" t="n"/>
      <c r="G54" s="66" t="n"/>
      <c r="H54" s="66" t="n"/>
      <c r="I54" s="66" t="n"/>
      <c r="J54" s="66" t="n"/>
      <c r="K54" s="66" t="n"/>
      <c r="L54" s="66" t="n"/>
      <c r="M54" s="66" t="n"/>
      <c r="N54" s="67">
        <f>IF(B54="","",(D54="Yes")+(E54="No")+(F54="No")+(G54="Weak")+(H54="No")+(I54="No")+(J54="No")+(K54="No")+(L54="No")+(M54="No"))</f>
        <v/>
      </c>
      <c r="O54" s="68">
        <f>IF(B54="","",IF(N54=0,"Done",IF(C54="High","Fix first",IF(C54="Moderate","Fix next",IF(C54="Low","Later","Set category")))))</f>
        <v/>
      </c>
    </row>
    <row r="55" ht="20" customHeight="1">
      <c r="B55" s="65" t="n"/>
      <c r="C55" s="66" t="n"/>
      <c r="D55" s="66" t="n"/>
      <c r="E55" s="66" t="n"/>
      <c r="F55" s="66" t="n"/>
      <c r="G55" s="66" t="n"/>
      <c r="H55" s="66" t="n"/>
      <c r="I55" s="66" t="n"/>
      <c r="J55" s="66" t="n"/>
      <c r="K55" s="66" t="n"/>
      <c r="L55" s="66" t="n"/>
      <c r="M55" s="66" t="n"/>
      <c r="N55" s="67">
        <f>IF(B55="","",(D55="Yes")+(E55="No")+(F55="No")+(G55="Weak")+(H55="No")+(I55="No")+(J55="No")+(K55="No")+(L55="No")+(M55="No"))</f>
        <v/>
      </c>
      <c r="O55" s="68">
        <f>IF(B55="","",IF(N55=0,"Done",IF(C55="High","Fix first",IF(C55="Moderate","Fix next",IF(C55="Low","Later","Set category")))))</f>
        <v/>
      </c>
    </row>
    <row r="56" ht="20" customHeight="1">
      <c r="B56" s="65" t="n"/>
      <c r="C56" s="66" t="n"/>
      <c r="D56" s="66" t="n"/>
      <c r="E56" s="66" t="n"/>
      <c r="F56" s="66" t="n"/>
      <c r="G56" s="66" t="n"/>
      <c r="H56" s="66" t="n"/>
      <c r="I56" s="66" t="n"/>
      <c r="J56" s="66" t="n"/>
      <c r="K56" s="66" t="n"/>
      <c r="L56" s="66" t="n"/>
      <c r="M56" s="66" t="n"/>
      <c r="N56" s="67">
        <f>IF(B56="","",(D56="Yes")+(E56="No")+(F56="No")+(G56="Weak")+(H56="No")+(I56="No")+(J56="No")+(K56="No")+(L56="No")+(M56="No"))</f>
        <v/>
      </c>
      <c r="O56" s="68">
        <f>IF(B56="","",IF(N56=0,"Done",IF(C56="High","Fix first",IF(C56="Moderate","Fix next",IF(C56="Low","Later","Set category")))))</f>
        <v/>
      </c>
    </row>
    <row r="57" ht="20" customHeight="1">
      <c r="B57" s="65" t="n"/>
      <c r="C57" s="66" t="n"/>
      <c r="D57" s="66" t="n"/>
      <c r="E57" s="66" t="n"/>
      <c r="F57" s="66" t="n"/>
      <c r="G57" s="66" t="n"/>
      <c r="H57" s="66" t="n"/>
      <c r="I57" s="66" t="n"/>
      <c r="J57" s="66" t="n"/>
      <c r="K57" s="66" t="n"/>
      <c r="L57" s="66" t="n"/>
      <c r="M57" s="66" t="n"/>
      <c r="N57" s="67">
        <f>IF(B57="","",(D57="Yes")+(E57="No")+(F57="No")+(G57="Weak")+(H57="No")+(I57="No")+(J57="No")+(K57="No")+(L57="No")+(M57="No"))</f>
        <v/>
      </c>
      <c r="O57" s="68">
        <f>IF(B57="","",IF(N57=0,"Done",IF(C57="High","Fix first",IF(C57="Moderate","Fix next",IF(C57="Low","Later","Set category")))))</f>
        <v/>
      </c>
    </row>
    <row r="58" ht="20" customHeight="1">
      <c r="B58" s="65" t="n"/>
      <c r="C58" s="66" t="n"/>
      <c r="D58" s="66" t="n"/>
      <c r="E58" s="66" t="n"/>
      <c r="F58" s="66" t="n"/>
      <c r="G58" s="66" t="n"/>
      <c r="H58" s="66" t="n"/>
      <c r="I58" s="66" t="n"/>
      <c r="J58" s="66" t="n"/>
      <c r="K58" s="66" t="n"/>
      <c r="L58" s="66" t="n"/>
      <c r="M58" s="66" t="n"/>
      <c r="N58" s="67">
        <f>IF(B58="","",(D58="Yes")+(E58="No")+(F58="No")+(G58="Weak")+(H58="No")+(I58="No")+(J58="No")+(K58="No")+(L58="No")+(M58="No"))</f>
        <v/>
      </c>
      <c r="O58" s="68">
        <f>IF(B58="","",IF(N58=0,"Done",IF(C58="High","Fix first",IF(C58="Moderate","Fix next",IF(C58="Low","Later","Set category")))))</f>
        <v/>
      </c>
    </row>
    <row r="59" ht="20" customHeight="1">
      <c r="B59" s="65" t="n"/>
      <c r="C59" s="66" t="n"/>
      <c r="D59" s="66" t="n"/>
      <c r="E59" s="66" t="n"/>
      <c r="F59" s="66" t="n"/>
      <c r="G59" s="66" t="n"/>
      <c r="H59" s="66" t="n"/>
      <c r="I59" s="66" t="n"/>
      <c r="J59" s="66" t="n"/>
      <c r="K59" s="66" t="n"/>
      <c r="L59" s="66" t="n"/>
      <c r="M59" s="66" t="n"/>
      <c r="N59" s="67">
        <f>IF(B59="","",(D59="Yes")+(E59="No")+(F59="No")+(G59="Weak")+(H59="No")+(I59="No")+(J59="No")+(K59="No")+(L59="No")+(M59="No"))</f>
        <v/>
      </c>
      <c r="O59" s="68">
        <f>IF(B59="","",IF(N59=0,"Done",IF(C59="High","Fix first",IF(C59="Moderate","Fix next",IF(C59="Low","Later","Set category")))))</f>
        <v/>
      </c>
    </row>
    <row r="60" ht="20" customHeight="1">
      <c r="B60" s="65" t="n"/>
      <c r="C60" s="66" t="n"/>
      <c r="D60" s="66" t="n"/>
      <c r="E60" s="66" t="n"/>
      <c r="F60" s="66" t="n"/>
      <c r="G60" s="66" t="n"/>
      <c r="H60" s="66" t="n"/>
      <c r="I60" s="66" t="n"/>
      <c r="J60" s="66" t="n"/>
      <c r="K60" s="66" t="n"/>
      <c r="L60" s="66" t="n"/>
      <c r="M60" s="66" t="n"/>
      <c r="N60" s="67">
        <f>IF(B60="","",(D60="Yes")+(E60="No")+(F60="No")+(G60="Weak")+(H60="No")+(I60="No")+(J60="No")+(K60="No")+(L60="No")+(M60="No"))</f>
        <v/>
      </c>
      <c r="O60" s="68">
        <f>IF(B60="","",IF(N60=0,"Done",IF(C60="High","Fix first",IF(C60="Moderate","Fix next",IF(C60="Low","Later","Set category")))))</f>
        <v/>
      </c>
    </row>
    <row r="61" ht="20" customHeight="1">
      <c r="B61" s="65" t="n"/>
      <c r="C61" s="66" t="n"/>
      <c r="D61" s="66" t="n"/>
      <c r="E61" s="66" t="n"/>
      <c r="F61" s="66" t="n"/>
      <c r="G61" s="66" t="n"/>
      <c r="H61" s="66" t="n"/>
      <c r="I61" s="66" t="n"/>
      <c r="J61" s="66" t="n"/>
      <c r="K61" s="66" t="n"/>
      <c r="L61" s="66" t="n"/>
      <c r="M61" s="66" t="n"/>
      <c r="N61" s="67">
        <f>IF(B61="","",(D61="Yes")+(E61="No")+(F61="No")+(G61="Weak")+(H61="No")+(I61="No")+(J61="No")+(K61="No")+(L61="No")+(M61="No"))</f>
        <v/>
      </c>
      <c r="O61" s="68">
        <f>IF(B61="","",IF(N61=0,"Done",IF(C61="High","Fix first",IF(C61="Moderate","Fix next",IF(C61="Low","Later","Set category")))))</f>
        <v/>
      </c>
    </row>
    <row r="62" ht="20" customHeight="1">
      <c r="B62" s="65" t="n"/>
      <c r="C62" s="66" t="n"/>
      <c r="D62" s="66" t="n"/>
      <c r="E62" s="66" t="n"/>
      <c r="F62" s="66" t="n"/>
      <c r="G62" s="66" t="n"/>
      <c r="H62" s="66" t="n"/>
      <c r="I62" s="66" t="n"/>
      <c r="J62" s="66" t="n"/>
      <c r="K62" s="66" t="n"/>
      <c r="L62" s="66" t="n"/>
      <c r="M62" s="66" t="n"/>
      <c r="N62" s="67">
        <f>IF(B62="","",(D62="Yes")+(E62="No")+(F62="No")+(G62="Weak")+(H62="No")+(I62="No")+(J62="No")+(K62="No")+(L62="No")+(M62="No"))</f>
        <v/>
      </c>
      <c r="O62" s="68">
        <f>IF(B62="","",IF(N62=0,"Done",IF(C62="High","Fix first",IF(C62="Moderate","Fix next",IF(C62="Low","Later","Set category")))))</f>
        <v/>
      </c>
    </row>
    <row r="63" ht="20" customHeight="1">
      <c r="B63" s="65" t="n"/>
      <c r="C63" s="66" t="n"/>
      <c r="D63" s="66" t="n"/>
      <c r="E63" s="66" t="n"/>
      <c r="F63" s="66" t="n"/>
      <c r="G63" s="66" t="n"/>
      <c r="H63" s="66" t="n"/>
      <c r="I63" s="66" t="n"/>
      <c r="J63" s="66" t="n"/>
      <c r="K63" s="66" t="n"/>
      <c r="L63" s="66" t="n"/>
      <c r="M63" s="66" t="n"/>
      <c r="N63" s="67">
        <f>IF(B63="","",(D63="Yes")+(E63="No")+(F63="No")+(G63="Weak")+(H63="No")+(I63="No")+(J63="No")+(K63="No")+(L63="No")+(M63="No"))</f>
        <v/>
      </c>
      <c r="O63" s="68">
        <f>IF(B63="","",IF(N63=0,"Done",IF(C63="High","Fix first",IF(C63="Moderate","Fix next",IF(C63="Low","Later","Set category")))))</f>
        <v/>
      </c>
    </row>
    <row r="64" ht="20" customHeight="1">
      <c r="B64" s="65" t="n"/>
      <c r="C64" s="66" t="n"/>
      <c r="D64" s="66" t="n"/>
      <c r="E64" s="66" t="n"/>
      <c r="F64" s="66" t="n"/>
      <c r="G64" s="66" t="n"/>
      <c r="H64" s="66" t="n"/>
      <c r="I64" s="66" t="n"/>
      <c r="J64" s="66" t="n"/>
      <c r="K64" s="66" t="n"/>
      <c r="L64" s="66" t="n"/>
      <c r="M64" s="66" t="n"/>
      <c r="N64" s="67">
        <f>IF(B64="","",(D64="Yes")+(E64="No")+(F64="No")+(G64="Weak")+(H64="No")+(I64="No")+(J64="No")+(K64="No")+(L64="No")+(M64="No"))</f>
        <v/>
      </c>
      <c r="O64" s="68">
        <f>IF(B64="","",IF(N64=0,"Done",IF(C64="High","Fix first",IF(C64="Moderate","Fix next",IF(C64="Low","Later","Set category")))))</f>
        <v/>
      </c>
    </row>
    <row r="65" ht="20" customHeight="1">
      <c r="B65" s="65" t="n"/>
      <c r="C65" s="66" t="n"/>
      <c r="D65" s="66" t="n"/>
      <c r="E65" s="66" t="n"/>
      <c r="F65" s="66" t="n"/>
      <c r="G65" s="66" t="n"/>
      <c r="H65" s="66" t="n"/>
      <c r="I65" s="66" t="n"/>
      <c r="J65" s="66" t="n"/>
      <c r="K65" s="66" t="n"/>
      <c r="L65" s="66" t="n"/>
      <c r="M65" s="66" t="n"/>
      <c r="N65" s="67">
        <f>IF(B65="","",(D65="Yes")+(E65="No")+(F65="No")+(G65="Weak")+(H65="No")+(I65="No")+(J65="No")+(K65="No")+(L65="No")+(M65="No"))</f>
        <v/>
      </c>
      <c r="O65" s="68">
        <f>IF(B65="","",IF(N65=0,"Done",IF(C65="High","Fix first",IF(C65="Moderate","Fix next",IF(C65="Low","Later","Set category")))))</f>
        <v/>
      </c>
    </row>
    <row r="66" ht="20" customHeight="1">
      <c r="B66" s="65" t="n"/>
      <c r="C66" s="66" t="n"/>
      <c r="D66" s="66" t="n"/>
      <c r="E66" s="66" t="n"/>
      <c r="F66" s="66" t="n"/>
      <c r="G66" s="66" t="n"/>
      <c r="H66" s="66" t="n"/>
      <c r="I66" s="66" t="n"/>
      <c r="J66" s="66" t="n"/>
      <c r="K66" s="66" t="n"/>
      <c r="L66" s="66" t="n"/>
      <c r="M66" s="66" t="n"/>
      <c r="N66" s="67">
        <f>IF(B66="","",(D66="Yes")+(E66="No")+(F66="No")+(G66="Weak")+(H66="No")+(I66="No")+(J66="No")+(K66="No")+(L66="No")+(M66="No"))</f>
        <v/>
      </c>
      <c r="O66" s="68">
        <f>IF(B66="","",IF(N66=0,"Done",IF(C66="High","Fix first",IF(C66="Moderate","Fix next",IF(C66="Low","Later","Set category")))))</f>
        <v/>
      </c>
    </row>
    <row r="67" ht="20" customHeight="1">
      <c r="B67" s="65" t="n"/>
      <c r="C67" s="66" t="n"/>
      <c r="D67" s="66" t="n"/>
      <c r="E67" s="66" t="n"/>
      <c r="F67" s="66" t="n"/>
      <c r="G67" s="66" t="n"/>
      <c r="H67" s="66" t="n"/>
      <c r="I67" s="66" t="n"/>
      <c r="J67" s="66" t="n"/>
      <c r="K67" s="66" t="n"/>
      <c r="L67" s="66" t="n"/>
      <c r="M67" s="66" t="n"/>
      <c r="N67" s="67">
        <f>IF(B67="","",(D67="Yes")+(E67="No")+(F67="No")+(G67="Weak")+(H67="No")+(I67="No")+(J67="No")+(K67="No")+(L67="No")+(M67="No"))</f>
        <v/>
      </c>
      <c r="O67" s="68">
        <f>IF(B67="","",IF(N67=0,"Done",IF(C67="High","Fix first",IF(C67="Moderate","Fix next",IF(C67="Low","Later","Set category")))))</f>
        <v/>
      </c>
    </row>
    <row r="68" ht="20" customHeight="1">
      <c r="B68" s="65" t="n"/>
      <c r="C68" s="66" t="n"/>
      <c r="D68" s="66" t="n"/>
      <c r="E68" s="66" t="n"/>
      <c r="F68" s="66" t="n"/>
      <c r="G68" s="66" t="n"/>
      <c r="H68" s="66" t="n"/>
      <c r="I68" s="66" t="n"/>
      <c r="J68" s="66" t="n"/>
      <c r="K68" s="66" t="n"/>
      <c r="L68" s="66" t="n"/>
      <c r="M68" s="66" t="n"/>
      <c r="N68" s="67">
        <f>IF(B68="","",(D68="Yes")+(E68="No")+(F68="No")+(G68="Weak")+(H68="No")+(I68="No")+(J68="No")+(K68="No")+(L68="No")+(M68="No"))</f>
        <v/>
      </c>
      <c r="O68" s="68">
        <f>IF(B68="","",IF(N68=0,"Done",IF(C68="High","Fix first",IF(C68="Moderate","Fix next",IF(C68="Low","Later","Set category")))))</f>
        <v/>
      </c>
    </row>
    <row r="69" ht="20" customHeight="1">
      <c r="B69" s="65" t="n"/>
      <c r="C69" s="66" t="n"/>
      <c r="D69" s="66" t="n"/>
      <c r="E69" s="66" t="n"/>
      <c r="F69" s="66" t="n"/>
      <c r="G69" s="66" t="n"/>
      <c r="H69" s="66" t="n"/>
      <c r="I69" s="66" t="n"/>
      <c r="J69" s="66" t="n"/>
      <c r="K69" s="66" t="n"/>
      <c r="L69" s="66" t="n"/>
      <c r="M69" s="66" t="n"/>
      <c r="N69" s="67">
        <f>IF(B69="","",(D69="Yes")+(E69="No")+(F69="No")+(G69="Weak")+(H69="No")+(I69="No")+(J69="No")+(K69="No")+(L69="No")+(M69="No"))</f>
        <v/>
      </c>
      <c r="O69" s="68">
        <f>IF(B69="","",IF(N69=0,"Done",IF(C69="High","Fix first",IF(C69="Moderate","Fix next",IF(C69="Low","Later","Set category")))))</f>
        <v/>
      </c>
    </row>
    <row r="70" ht="20" customHeight="1">
      <c r="B70" s="65" t="n"/>
      <c r="C70" s="66" t="n"/>
      <c r="D70" s="66" t="n"/>
      <c r="E70" s="66" t="n"/>
      <c r="F70" s="66" t="n"/>
      <c r="G70" s="66" t="n"/>
      <c r="H70" s="66" t="n"/>
      <c r="I70" s="66" t="n"/>
      <c r="J70" s="66" t="n"/>
      <c r="K70" s="66" t="n"/>
      <c r="L70" s="66" t="n"/>
      <c r="M70" s="66" t="n"/>
      <c r="N70" s="67">
        <f>IF(B70="","",(D70="Yes")+(E70="No")+(F70="No")+(G70="Weak")+(H70="No")+(I70="No")+(J70="No")+(K70="No")+(L70="No")+(M70="No"))</f>
        <v/>
      </c>
      <c r="O70" s="68">
        <f>IF(B70="","",IF(N70=0,"Done",IF(C70="High","Fix first",IF(C70="Moderate","Fix next",IF(C70="Low","Later","Set category")))))</f>
        <v/>
      </c>
    </row>
    <row r="71" ht="20" customHeight="1">
      <c r="B71" s="65" t="n"/>
      <c r="C71" s="66" t="n"/>
      <c r="D71" s="66" t="n"/>
      <c r="E71" s="66" t="n"/>
      <c r="F71" s="66" t="n"/>
      <c r="G71" s="66" t="n"/>
      <c r="H71" s="66" t="n"/>
      <c r="I71" s="66" t="n"/>
      <c r="J71" s="66" t="n"/>
      <c r="K71" s="66" t="n"/>
      <c r="L71" s="66" t="n"/>
      <c r="M71" s="66" t="n"/>
      <c r="N71" s="67">
        <f>IF(B71="","",(D71="Yes")+(E71="No")+(F71="No")+(G71="Weak")+(H71="No")+(I71="No")+(J71="No")+(K71="No")+(L71="No")+(M71="No"))</f>
        <v/>
      </c>
      <c r="O71" s="68">
        <f>IF(B71="","",IF(N71=0,"Done",IF(C71="High","Fix first",IF(C71="Moderate","Fix next",IF(C71="Low","Later","Set category")))))</f>
        <v/>
      </c>
    </row>
    <row r="72" ht="20" customHeight="1">
      <c r="B72" s="65" t="n"/>
      <c r="C72" s="66" t="n"/>
      <c r="D72" s="66" t="n"/>
      <c r="E72" s="66" t="n"/>
      <c r="F72" s="66" t="n"/>
      <c r="G72" s="66" t="n"/>
      <c r="H72" s="66" t="n"/>
      <c r="I72" s="66" t="n"/>
      <c r="J72" s="66" t="n"/>
      <c r="K72" s="66" t="n"/>
      <c r="L72" s="66" t="n"/>
      <c r="M72" s="66" t="n"/>
      <c r="N72" s="67">
        <f>IF(B72="","",(D72="Yes")+(E72="No")+(F72="No")+(G72="Weak")+(H72="No")+(I72="No")+(J72="No")+(K72="No")+(L72="No")+(M72="No"))</f>
        <v/>
      </c>
      <c r="O72" s="68">
        <f>IF(B72="","",IF(N72=0,"Done",IF(C72="High","Fix first",IF(C72="Moderate","Fix next",IF(C72="Low","Later","Set category")))))</f>
        <v/>
      </c>
    </row>
    <row r="73" ht="20" customHeight="1">
      <c r="B73" s="65" t="n"/>
      <c r="C73" s="66" t="n"/>
      <c r="D73" s="66" t="n"/>
      <c r="E73" s="66" t="n"/>
      <c r="F73" s="66" t="n"/>
      <c r="G73" s="66" t="n"/>
      <c r="H73" s="66" t="n"/>
      <c r="I73" s="66" t="n"/>
      <c r="J73" s="66" t="n"/>
      <c r="K73" s="66" t="n"/>
      <c r="L73" s="66" t="n"/>
      <c r="M73" s="66" t="n"/>
      <c r="N73" s="67">
        <f>IF(B73="","",(D73="Yes")+(E73="No")+(F73="No")+(G73="Weak")+(H73="No")+(I73="No")+(J73="No")+(K73="No")+(L73="No")+(M73="No"))</f>
        <v/>
      </c>
      <c r="O73" s="68">
        <f>IF(B73="","",IF(N73=0,"Done",IF(C73="High","Fix first",IF(C73="Moderate","Fix next",IF(C73="Low","Later","Set category")))))</f>
        <v/>
      </c>
    </row>
    <row r="74" ht="20" customHeight="1">
      <c r="B74" s="65" t="n"/>
      <c r="C74" s="66" t="n"/>
      <c r="D74" s="66" t="n"/>
      <c r="E74" s="66" t="n"/>
      <c r="F74" s="66" t="n"/>
      <c r="G74" s="66" t="n"/>
      <c r="H74" s="66" t="n"/>
      <c r="I74" s="66" t="n"/>
      <c r="J74" s="66" t="n"/>
      <c r="K74" s="66" t="n"/>
      <c r="L74" s="66" t="n"/>
      <c r="M74" s="66" t="n"/>
      <c r="N74" s="67">
        <f>IF(B74="","",(D74="Yes")+(E74="No")+(F74="No")+(G74="Weak")+(H74="No")+(I74="No")+(J74="No")+(K74="No")+(L74="No")+(M74="No"))</f>
        <v/>
      </c>
      <c r="O74" s="68">
        <f>IF(B74="","",IF(N74=0,"Done",IF(C74="High","Fix first",IF(C74="Moderate","Fix next",IF(C74="Low","Later","Set category")))))</f>
        <v/>
      </c>
    </row>
    <row r="75" ht="20" customHeight="1">
      <c r="B75" s="65" t="n"/>
      <c r="C75" s="66" t="n"/>
      <c r="D75" s="66" t="n"/>
      <c r="E75" s="66" t="n"/>
      <c r="F75" s="66" t="n"/>
      <c r="G75" s="66" t="n"/>
      <c r="H75" s="66" t="n"/>
      <c r="I75" s="66" t="n"/>
      <c r="J75" s="66" t="n"/>
      <c r="K75" s="66" t="n"/>
      <c r="L75" s="66" t="n"/>
      <c r="M75" s="66" t="n"/>
      <c r="N75" s="67">
        <f>IF(B75="","",(D75="Yes")+(E75="No")+(F75="No")+(G75="Weak")+(H75="No")+(I75="No")+(J75="No")+(K75="No")+(L75="No")+(M75="No"))</f>
        <v/>
      </c>
      <c r="O75" s="68">
        <f>IF(B75="","",IF(N75=0,"Done",IF(C75="High","Fix first",IF(C75="Moderate","Fix next",IF(C75="Low","Later","Set category")))))</f>
        <v/>
      </c>
    </row>
    <row r="76" ht="20" customHeight="1">
      <c r="B76" s="65" t="n"/>
      <c r="C76" s="66" t="n"/>
      <c r="D76" s="66" t="n"/>
      <c r="E76" s="66" t="n"/>
      <c r="F76" s="66" t="n"/>
      <c r="G76" s="66" t="n"/>
      <c r="H76" s="66" t="n"/>
      <c r="I76" s="66" t="n"/>
      <c r="J76" s="66" t="n"/>
      <c r="K76" s="66" t="n"/>
      <c r="L76" s="66" t="n"/>
      <c r="M76" s="66" t="n"/>
      <c r="N76" s="67">
        <f>IF(B76="","",(D76="Yes")+(E76="No")+(F76="No")+(G76="Weak")+(H76="No")+(I76="No")+(J76="No")+(K76="No")+(L76="No")+(M76="No"))</f>
        <v/>
      </c>
      <c r="O76" s="68">
        <f>IF(B76="","",IF(N76=0,"Done",IF(C76="High","Fix first",IF(C76="Moderate","Fix next",IF(C76="Low","Later","Set category")))))</f>
        <v/>
      </c>
    </row>
    <row r="77" ht="20" customHeight="1">
      <c r="B77" s="65" t="n"/>
      <c r="C77" s="66" t="n"/>
      <c r="D77" s="66" t="n"/>
      <c r="E77" s="66" t="n"/>
      <c r="F77" s="66" t="n"/>
      <c r="G77" s="66" t="n"/>
      <c r="H77" s="66" t="n"/>
      <c r="I77" s="66" t="n"/>
      <c r="J77" s="66" t="n"/>
      <c r="K77" s="66" t="n"/>
      <c r="L77" s="66" t="n"/>
      <c r="M77" s="66" t="n"/>
      <c r="N77" s="67">
        <f>IF(B77="","",(D77="Yes")+(E77="No")+(F77="No")+(G77="Weak")+(H77="No")+(I77="No")+(J77="No")+(K77="No")+(L77="No")+(M77="No"))</f>
        <v/>
      </c>
      <c r="O77" s="68">
        <f>IF(B77="","",IF(N77=0,"Done",IF(C77="High","Fix first",IF(C77="Moderate","Fix next",IF(C77="Low","Later","Set category")))))</f>
        <v/>
      </c>
    </row>
    <row r="78" ht="20" customHeight="1">
      <c r="B78" s="65" t="n"/>
      <c r="C78" s="66" t="n"/>
      <c r="D78" s="66" t="n"/>
      <c r="E78" s="66" t="n"/>
      <c r="F78" s="66" t="n"/>
      <c r="G78" s="66" t="n"/>
      <c r="H78" s="66" t="n"/>
      <c r="I78" s="66" t="n"/>
      <c r="J78" s="66" t="n"/>
      <c r="K78" s="66" t="n"/>
      <c r="L78" s="66" t="n"/>
      <c r="M78" s="66" t="n"/>
      <c r="N78" s="67">
        <f>IF(B78="","",(D78="Yes")+(E78="No")+(F78="No")+(G78="Weak")+(H78="No")+(I78="No")+(J78="No")+(K78="No")+(L78="No")+(M78="No"))</f>
        <v/>
      </c>
      <c r="O78" s="68">
        <f>IF(B78="","",IF(N78=0,"Done",IF(C78="High","Fix first",IF(C78="Moderate","Fix next",IF(C78="Low","Later","Set category")))))</f>
        <v/>
      </c>
    </row>
    <row r="79" ht="20" customHeight="1">
      <c r="B79" s="65" t="n"/>
      <c r="C79" s="66" t="n"/>
      <c r="D79" s="66" t="n"/>
      <c r="E79" s="66" t="n"/>
      <c r="F79" s="66" t="n"/>
      <c r="G79" s="66" t="n"/>
      <c r="H79" s="66" t="n"/>
      <c r="I79" s="66" t="n"/>
      <c r="J79" s="66" t="n"/>
      <c r="K79" s="66" t="n"/>
      <c r="L79" s="66" t="n"/>
      <c r="M79" s="66" t="n"/>
      <c r="N79" s="67">
        <f>IF(B79="","",(D79="Yes")+(E79="No")+(F79="No")+(G79="Weak")+(H79="No")+(I79="No")+(J79="No")+(K79="No")+(L79="No")+(M79="No"))</f>
        <v/>
      </c>
      <c r="O79" s="68">
        <f>IF(B79="","",IF(N79=0,"Done",IF(C79="High","Fix first",IF(C79="Moderate","Fix next",IF(C79="Low","Later","Set category")))))</f>
        <v/>
      </c>
    </row>
    <row r="80" ht="20" customHeight="1">
      <c r="B80" s="65" t="n"/>
      <c r="C80" s="66" t="n"/>
      <c r="D80" s="66" t="n"/>
      <c r="E80" s="66" t="n"/>
      <c r="F80" s="66" t="n"/>
      <c r="G80" s="66" t="n"/>
      <c r="H80" s="66" t="n"/>
      <c r="I80" s="66" t="n"/>
      <c r="J80" s="66" t="n"/>
      <c r="K80" s="66" t="n"/>
      <c r="L80" s="66" t="n"/>
      <c r="M80" s="66" t="n"/>
      <c r="N80" s="67">
        <f>IF(B80="","",(D80="Yes")+(E80="No")+(F80="No")+(G80="Weak")+(H80="No")+(I80="No")+(J80="No")+(K80="No")+(L80="No")+(M80="No"))</f>
        <v/>
      </c>
      <c r="O80" s="68">
        <f>IF(B80="","",IF(N80=0,"Done",IF(C80="High","Fix first",IF(C80="Moderate","Fix next",IF(C80="Low","Later","Set category")))))</f>
        <v/>
      </c>
    </row>
    <row r="81" ht="20" customHeight="1">
      <c r="B81" s="65" t="n"/>
      <c r="C81" s="66" t="n"/>
      <c r="D81" s="66" t="n"/>
      <c r="E81" s="66" t="n"/>
      <c r="F81" s="66" t="n"/>
      <c r="G81" s="66" t="n"/>
      <c r="H81" s="66" t="n"/>
      <c r="I81" s="66" t="n"/>
      <c r="J81" s="66" t="n"/>
      <c r="K81" s="66" t="n"/>
      <c r="L81" s="66" t="n"/>
      <c r="M81" s="66" t="n"/>
      <c r="N81" s="67">
        <f>IF(B81="","",(D81="Yes")+(E81="No")+(F81="No")+(G81="Weak")+(H81="No")+(I81="No")+(J81="No")+(K81="No")+(L81="No")+(M81="No"))</f>
        <v/>
      </c>
      <c r="O81" s="68">
        <f>IF(B81="","",IF(N81=0,"Done",IF(C81="High","Fix first",IF(C81="Moderate","Fix next",IF(C81="Low","Later","Set category")))))</f>
        <v/>
      </c>
    </row>
    <row r="82" ht="20" customHeight="1">
      <c r="B82" s="65" t="n"/>
      <c r="C82" s="66" t="n"/>
      <c r="D82" s="66" t="n"/>
      <c r="E82" s="66" t="n"/>
      <c r="F82" s="66" t="n"/>
      <c r="G82" s="66" t="n"/>
      <c r="H82" s="66" t="n"/>
      <c r="I82" s="66" t="n"/>
      <c r="J82" s="66" t="n"/>
      <c r="K82" s="66" t="n"/>
      <c r="L82" s="66" t="n"/>
      <c r="M82" s="66" t="n"/>
      <c r="N82" s="67">
        <f>IF(B82="","",(D82="Yes")+(E82="No")+(F82="No")+(G82="Weak")+(H82="No")+(I82="No")+(J82="No")+(K82="No")+(L82="No")+(M82="No"))</f>
        <v/>
      </c>
      <c r="O82" s="68">
        <f>IF(B82="","",IF(N82=0,"Done",IF(C82="High","Fix first",IF(C82="Moderate","Fix next",IF(C82="Low","Later","Set category")))))</f>
        <v/>
      </c>
    </row>
    <row r="83" ht="20" customHeight="1">
      <c r="B83" s="65" t="n"/>
      <c r="C83" s="66" t="n"/>
      <c r="D83" s="66" t="n"/>
      <c r="E83" s="66" t="n"/>
      <c r="F83" s="66" t="n"/>
      <c r="G83" s="66" t="n"/>
      <c r="H83" s="66" t="n"/>
      <c r="I83" s="66" t="n"/>
      <c r="J83" s="66" t="n"/>
      <c r="K83" s="66" t="n"/>
      <c r="L83" s="66" t="n"/>
      <c r="M83" s="66" t="n"/>
      <c r="N83" s="67">
        <f>IF(B83="","",(D83="Yes")+(E83="No")+(F83="No")+(G83="Weak")+(H83="No")+(I83="No")+(J83="No")+(K83="No")+(L83="No")+(M83="No"))</f>
        <v/>
      </c>
      <c r="O83" s="68">
        <f>IF(B83="","",IF(N83=0,"Done",IF(C83="High","Fix first",IF(C83="Moderate","Fix next",IF(C83="Low","Later","Set category")))))</f>
        <v/>
      </c>
    </row>
    <row r="84" ht="20" customHeight="1">
      <c r="B84" s="65" t="n"/>
      <c r="C84" s="66" t="n"/>
      <c r="D84" s="66" t="n"/>
      <c r="E84" s="66" t="n"/>
      <c r="F84" s="66" t="n"/>
      <c r="G84" s="66" t="n"/>
      <c r="H84" s="66" t="n"/>
      <c r="I84" s="66" t="n"/>
      <c r="J84" s="66" t="n"/>
      <c r="K84" s="66" t="n"/>
      <c r="L84" s="66" t="n"/>
      <c r="M84" s="66" t="n"/>
      <c r="N84" s="67">
        <f>IF(B84="","",(D84="Yes")+(E84="No")+(F84="No")+(G84="Weak")+(H84="No")+(I84="No")+(J84="No")+(K84="No")+(L84="No")+(M84="No"))</f>
        <v/>
      </c>
      <c r="O84" s="68">
        <f>IF(B84="","",IF(N84=0,"Done",IF(C84="High","Fix first",IF(C84="Moderate","Fix next",IF(C84="Low","Later","Set category")))))</f>
        <v/>
      </c>
    </row>
    <row r="85" ht="20" customHeight="1">
      <c r="B85" s="65" t="n"/>
      <c r="C85" s="66" t="n"/>
      <c r="D85" s="66" t="n"/>
      <c r="E85" s="66" t="n"/>
      <c r="F85" s="66" t="n"/>
      <c r="G85" s="66" t="n"/>
      <c r="H85" s="66" t="n"/>
      <c r="I85" s="66" t="n"/>
      <c r="J85" s="66" t="n"/>
      <c r="K85" s="66" t="n"/>
      <c r="L85" s="66" t="n"/>
      <c r="M85" s="66" t="n"/>
      <c r="N85" s="67">
        <f>IF(B85="","",(D85="Yes")+(E85="No")+(F85="No")+(G85="Weak")+(H85="No")+(I85="No")+(J85="No")+(K85="No")+(L85="No")+(M85="No"))</f>
        <v/>
      </c>
      <c r="O85" s="68">
        <f>IF(B85="","",IF(N85=0,"Done",IF(C85="High","Fix first",IF(C85="Moderate","Fix next",IF(C85="Low","Later","Set category")))))</f>
        <v/>
      </c>
    </row>
    <row r="86" ht="20" customHeight="1">
      <c r="B86" s="65" t="n"/>
      <c r="C86" s="66" t="n"/>
      <c r="D86" s="66" t="n"/>
      <c r="E86" s="66" t="n"/>
      <c r="F86" s="66" t="n"/>
      <c r="G86" s="66" t="n"/>
      <c r="H86" s="66" t="n"/>
      <c r="I86" s="66" t="n"/>
      <c r="J86" s="66" t="n"/>
      <c r="K86" s="66" t="n"/>
      <c r="L86" s="66" t="n"/>
      <c r="M86" s="66" t="n"/>
      <c r="N86" s="67">
        <f>IF(B86="","",(D86="Yes")+(E86="No")+(F86="No")+(G86="Weak")+(H86="No")+(I86="No")+(J86="No")+(K86="No")+(L86="No")+(M86="No"))</f>
        <v/>
      </c>
      <c r="O86" s="68">
        <f>IF(B86="","",IF(N86=0,"Done",IF(C86="High","Fix first",IF(C86="Moderate","Fix next",IF(C86="Low","Later","Set category")))))</f>
        <v/>
      </c>
    </row>
    <row r="87" ht="20" customHeight="1">
      <c r="B87" s="65" t="n"/>
      <c r="C87" s="66" t="n"/>
      <c r="D87" s="66" t="n"/>
      <c r="E87" s="66" t="n"/>
      <c r="F87" s="66" t="n"/>
      <c r="G87" s="66" t="n"/>
      <c r="H87" s="66" t="n"/>
      <c r="I87" s="66" t="n"/>
      <c r="J87" s="66" t="n"/>
      <c r="K87" s="66" t="n"/>
      <c r="L87" s="66" t="n"/>
      <c r="M87" s="66" t="n"/>
      <c r="N87" s="67">
        <f>IF(B87="","",(D87="Yes")+(E87="No")+(F87="No")+(G87="Weak")+(H87="No")+(I87="No")+(J87="No")+(K87="No")+(L87="No")+(M87="No"))</f>
        <v/>
      </c>
      <c r="O87" s="68">
        <f>IF(B87="","",IF(N87=0,"Done",IF(C87="High","Fix first",IF(C87="Moderate","Fix next",IF(C87="Low","Later","Set category")))))</f>
        <v/>
      </c>
    </row>
    <row r="88" ht="20" customHeight="1">
      <c r="B88" s="65" t="n"/>
      <c r="C88" s="66" t="n"/>
      <c r="D88" s="66" t="n"/>
      <c r="E88" s="66" t="n"/>
      <c r="F88" s="66" t="n"/>
      <c r="G88" s="66" t="n"/>
      <c r="H88" s="66" t="n"/>
      <c r="I88" s="66" t="n"/>
      <c r="J88" s="66" t="n"/>
      <c r="K88" s="66" t="n"/>
      <c r="L88" s="66" t="n"/>
      <c r="M88" s="66" t="n"/>
      <c r="N88" s="67">
        <f>IF(B88="","",(D88="Yes")+(E88="No")+(F88="No")+(G88="Weak")+(H88="No")+(I88="No")+(J88="No")+(K88="No")+(L88="No")+(M88="No"))</f>
        <v/>
      </c>
      <c r="O88" s="68">
        <f>IF(B88="","",IF(N88=0,"Done",IF(C88="High","Fix first",IF(C88="Moderate","Fix next",IF(C88="Low","Later","Set category")))))</f>
        <v/>
      </c>
    </row>
    <row r="89" ht="20" customHeight="1">
      <c r="B89" s="65" t="n"/>
      <c r="C89" s="66" t="n"/>
      <c r="D89" s="66" t="n"/>
      <c r="E89" s="66" t="n"/>
      <c r="F89" s="66" t="n"/>
      <c r="G89" s="66" t="n"/>
      <c r="H89" s="66" t="n"/>
      <c r="I89" s="66" t="n"/>
      <c r="J89" s="66" t="n"/>
      <c r="K89" s="66" t="n"/>
      <c r="L89" s="66" t="n"/>
      <c r="M89" s="66" t="n"/>
      <c r="N89" s="67">
        <f>IF(B89="","",(D89="Yes")+(E89="No")+(F89="No")+(G89="Weak")+(H89="No")+(I89="No")+(J89="No")+(K89="No")+(L89="No")+(M89="No"))</f>
        <v/>
      </c>
      <c r="O89" s="68">
        <f>IF(B89="","",IF(N89=0,"Done",IF(C89="High","Fix first",IF(C89="Moderate","Fix next",IF(C89="Low","Later","Set category")))))</f>
        <v/>
      </c>
    </row>
    <row r="90" ht="20" customHeight="1">
      <c r="B90" s="65" t="n"/>
      <c r="C90" s="66" t="n"/>
      <c r="D90" s="66" t="n"/>
      <c r="E90" s="66" t="n"/>
      <c r="F90" s="66" t="n"/>
      <c r="G90" s="66" t="n"/>
      <c r="H90" s="66" t="n"/>
      <c r="I90" s="66" t="n"/>
      <c r="J90" s="66" t="n"/>
      <c r="K90" s="66" t="n"/>
      <c r="L90" s="66" t="n"/>
      <c r="M90" s="66" t="n"/>
      <c r="N90" s="67">
        <f>IF(B90="","",(D90="Yes")+(E90="No")+(F90="No")+(G90="Weak")+(H90="No")+(I90="No")+(J90="No")+(K90="No")+(L90="No")+(M90="No"))</f>
        <v/>
      </c>
      <c r="O90" s="68">
        <f>IF(B90="","",IF(N90=0,"Done",IF(C90="High","Fix first",IF(C90="Moderate","Fix next",IF(C90="Low","Later","Set category")))))</f>
        <v/>
      </c>
    </row>
    <row r="91" ht="20" customHeight="1">
      <c r="B91" s="65" t="n"/>
      <c r="C91" s="66" t="n"/>
      <c r="D91" s="66" t="n"/>
      <c r="E91" s="66" t="n"/>
      <c r="F91" s="66" t="n"/>
      <c r="G91" s="66" t="n"/>
      <c r="H91" s="66" t="n"/>
      <c r="I91" s="66" t="n"/>
      <c r="J91" s="66" t="n"/>
      <c r="K91" s="66" t="n"/>
      <c r="L91" s="66" t="n"/>
      <c r="M91" s="66" t="n"/>
      <c r="N91" s="67">
        <f>IF(B91="","",(D91="Yes")+(E91="No")+(F91="No")+(G91="Weak")+(H91="No")+(I91="No")+(J91="No")+(K91="No")+(L91="No")+(M91="No"))</f>
        <v/>
      </c>
      <c r="O91" s="68">
        <f>IF(B91="","",IF(N91=0,"Done",IF(C91="High","Fix first",IF(C91="Moderate","Fix next",IF(C91="Low","Later","Set category")))))</f>
        <v/>
      </c>
    </row>
    <row r="92" ht="20" customHeight="1">
      <c r="B92" s="65" t="n"/>
      <c r="C92" s="66" t="n"/>
      <c r="D92" s="66" t="n"/>
      <c r="E92" s="66" t="n"/>
      <c r="F92" s="66" t="n"/>
      <c r="G92" s="66" t="n"/>
      <c r="H92" s="66" t="n"/>
      <c r="I92" s="66" t="n"/>
      <c r="J92" s="66" t="n"/>
      <c r="K92" s="66" t="n"/>
      <c r="L92" s="66" t="n"/>
      <c r="M92" s="66" t="n"/>
      <c r="N92" s="67">
        <f>IF(B92="","",(D92="Yes")+(E92="No")+(F92="No")+(G92="Weak")+(H92="No")+(I92="No")+(J92="No")+(K92="No")+(L92="No")+(M92="No"))</f>
        <v/>
      </c>
      <c r="O92" s="68">
        <f>IF(B92="","",IF(N92=0,"Done",IF(C92="High","Fix first",IF(C92="Moderate","Fix next",IF(C92="Low","Later","Set category")))))</f>
        <v/>
      </c>
    </row>
    <row r="93" ht="20" customHeight="1">
      <c r="B93" s="65" t="n"/>
      <c r="C93" s="66" t="n"/>
      <c r="D93" s="66" t="n"/>
      <c r="E93" s="66" t="n"/>
      <c r="F93" s="66" t="n"/>
      <c r="G93" s="66" t="n"/>
      <c r="H93" s="66" t="n"/>
      <c r="I93" s="66" t="n"/>
      <c r="J93" s="66" t="n"/>
      <c r="K93" s="66" t="n"/>
      <c r="L93" s="66" t="n"/>
      <c r="M93" s="66" t="n"/>
      <c r="N93" s="67">
        <f>IF(B93="","",(D93="Yes")+(E93="No")+(F93="No")+(G93="Weak")+(H93="No")+(I93="No")+(J93="No")+(K93="No")+(L93="No")+(M93="No"))</f>
        <v/>
      </c>
      <c r="O93" s="68">
        <f>IF(B93="","",IF(N93=0,"Done",IF(C93="High","Fix first",IF(C93="Moderate","Fix next",IF(C93="Low","Later","Set category")))))</f>
        <v/>
      </c>
    </row>
    <row r="94" ht="20" customHeight="1">
      <c r="B94" s="65" t="n"/>
      <c r="C94" s="66" t="n"/>
      <c r="D94" s="66" t="n"/>
      <c r="E94" s="66" t="n"/>
      <c r="F94" s="66" t="n"/>
      <c r="G94" s="66" t="n"/>
      <c r="H94" s="66" t="n"/>
      <c r="I94" s="66" t="n"/>
      <c r="J94" s="66" t="n"/>
      <c r="K94" s="66" t="n"/>
      <c r="L94" s="66" t="n"/>
      <c r="M94" s="66" t="n"/>
      <c r="N94" s="67">
        <f>IF(B94="","",(D94="Yes")+(E94="No")+(F94="No")+(G94="Weak")+(H94="No")+(I94="No")+(J94="No")+(K94="No")+(L94="No")+(M94="No"))</f>
        <v/>
      </c>
      <c r="O94" s="68">
        <f>IF(B94="","",IF(N94=0,"Done",IF(C94="High","Fix first",IF(C94="Moderate","Fix next",IF(C94="Low","Later","Set category")))))</f>
        <v/>
      </c>
    </row>
    <row r="95" ht="20" customHeight="1">
      <c r="B95" s="65" t="n"/>
      <c r="C95" s="66" t="n"/>
      <c r="D95" s="66" t="n"/>
      <c r="E95" s="66" t="n"/>
      <c r="F95" s="66" t="n"/>
      <c r="G95" s="66" t="n"/>
      <c r="H95" s="66" t="n"/>
      <c r="I95" s="66" t="n"/>
      <c r="J95" s="66" t="n"/>
      <c r="K95" s="66" t="n"/>
      <c r="L95" s="66" t="n"/>
      <c r="M95" s="66" t="n"/>
      <c r="N95" s="67">
        <f>IF(B95="","",(D95="Yes")+(E95="No")+(F95="No")+(G95="Weak")+(H95="No")+(I95="No")+(J95="No")+(K95="No")+(L95="No")+(M95="No"))</f>
        <v/>
      </c>
      <c r="O95" s="68">
        <f>IF(B95="","",IF(N95=0,"Done",IF(C95="High","Fix first",IF(C95="Moderate","Fix next",IF(C95="Low","Later","Set category")))))</f>
        <v/>
      </c>
    </row>
    <row r="96" ht="20" customHeight="1">
      <c r="B96" s="65" t="n"/>
      <c r="C96" s="66" t="n"/>
      <c r="D96" s="66" t="n"/>
      <c r="E96" s="66" t="n"/>
      <c r="F96" s="66" t="n"/>
      <c r="G96" s="66" t="n"/>
      <c r="H96" s="66" t="n"/>
      <c r="I96" s="66" t="n"/>
      <c r="J96" s="66" t="n"/>
      <c r="K96" s="66" t="n"/>
      <c r="L96" s="66" t="n"/>
      <c r="M96" s="66" t="n"/>
      <c r="N96" s="67">
        <f>IF(B96="","",(D96="Yes")+(E96="No")+(F96="No")+(G96="Weak")+(H96="No")+(I96="No")+(J96="No")+(K96="No")+(L96="No")+(M96="No"))</f>
        <v/>
      </c>
      <c r="O96" s="68">
        <f>IF(B96="","",IF(N96=0,"Done",IF(C96="High","Fix first",IF(C96="Moderate","Fix next",IF(C96="Low","Later","Set category")))))</f>
        <v/>
      </c>
    </row>
    <row r="97" ht="20" customHeight="1">
      <c r="B97" s="65" t="n"/>
      <c r="C97" s="66" t="n"/>
      <c r="D97" s="66" t="n"/>
      <c r="E97" s="66" t="n"/>
      <c r="F97" s="66" t="n"/>
      <c r="G97" s="66" t="n"/>
      <c r="H97" s="66" t="n"/>
      <c r="I97" s="66" t="n"/>
      <c r="J97" s="66" t="n"/>
      <c r="K97" s="66" t="n"/>
      <c r="L97" s="66" t="n"/>
      <c r="M97" s="66" t="n"/>
      <c r="N97" s="67">
        <f>IF(B97="","",(D97="Yes")+(E97="No")+(F97="No")+(G97="Weak")+(H97="No")+(I97="No")+(J97="No")+(K97="No")+(L97="No")+(M97="No"))</f>
        <v/>
      </c>
      <c r="O97" s="68">
        <f>IF(B97="","",IF(N97=0,"Done",IF(C97="High","Fix first",IF(C97="Moderate","Fix next",IF(C97="Low","Later","Set category")))))</f>
        <v/>
      </c>
    </row>
    <row r="98" ht="20" customHeight="1">
      <c r="B98" s="65" t="n"/>
      <c r="C98" s="66" t="n"/>
      <c r="D98" s="66" t="n"/>
      <c r="E98" s="66" t="n"/>
      <c r="F98" s="66" t="n"/>
      <c r="G98" s="66" t="n"/>
      <c r="H98" s="66" t="n"/>
      <c r="I98" s="66" t="n"/>
      <c r="J98" s="66" t="n"/>
      <c r="K98" s="66" t="n"/>
      <c r="L98" s="66" t="n"/>
      <c r="M98" s="66" t="n"/>
      <c r="N98" s="67">
        <f>IF(B98="","",(D98="Yes")+(E98="No")+(F98="No")+(G98="Weak")+(H98="No")+(I98="No")+(J98="No")+(K98="No")+(L98="No")+(M98="No"))</f>
        <v/>
      </c>
      <c r="O98" s="68">
        <f>IF(B98="","",IF(N98=0,"Done",IF(C98="High","Fix first",IF(C98="Moderate","Fix next",IF(C98="Low","Later","Set category")))))</f>
        <v/>
      </c>
    </row>
    <row r="99" ht="20" customHeight="1">
      <c r="B99" s="65" t="n"/>
      <c r="C99" s="66" t="n"/>
      <c r="D99" s="66" t="n"/>
      <c r="E99" s="66" t="n"/>
      <c r="F99" s="66" t="n"/>
      <c r="G99" s="66" t="n"/>
      <c r="H99" s="66" t="n"/>
      <c r="I99" s="66" t="n"/>
      <c r="J99" s="66" t="n"/>
      <c r="K99" s="66" t="n"/>
      <c r="L99" s="66" t="n"/>
      <c r="M99" s="66" t="n"/>
      <c r="N99" s="67">
        <f>IF(B99="","",(D99="Yes")+(E99="No")+(F99="No")+(G99="Weak")+(H99="No")+(I99="No")+(J99="No")+(K99="No")+(L99="No")+(M99="No"))</f>
        <v/>
      </c>
      <c r="O99" s="68">
        <f>IF(B99="","",IF(N99=0,"Done",IF(C99="High","Fix first",IF(C99="Moderate","Fix next",IF(C99="Low","Later","Set category")))))</f>
        <v/>
      </c>
    </row>
    <row r="100" ht="20" customHeight="1">
      <c r="B100" s="65" t="n"/>
      <c r="C100" s="66" t="n"/>
      <c r="D100" s="66" t="n"/>
      <c r="E100" s="66" t="n"/>
      <c r="F100" s="66" t="n"/>
      <c r="G100" s="66" t="n"/>
      <c r="H100" s="66" t="n"/>
      <c r="I100" s="66" t="n"/>
      <c r="J100" s="66" t="n"/>
      <c r="K100" s="66" t="n"/>
      <c r="L100" s="66" t="n"/>
      <c r="M100" s="66" t="n"/>
      <c r="N100" s="67">
        <f>IF(B100="","",(D100="Yes")+(E100="No")+(F100="No")+(G100="Weak")+(H100="No")+(I100="No")+(J100="No")+(K100="No")+(L100="No")+(M100="No"))</f>
        <v/>
      </c>
      <c r="O100" s="68">
        <f>IF(B100="","",IF(N100=0,"Done",IF(C100="High","Fix first",IF(C100="Moderate","Fix next",IF(C100="Low","Later","Set category")))))</f>
        <v/>
      </c>
    </row>
    <row r="101" ht="20" customHeight="1">
      <c r="B101" s="65" t="n"/>
      <c r="C101" s="66" t="n"/>
      <c r="D101" s="66" t="n"/>
      <c r="E101" s="66" t="n"/>
      <c r="F101" s="66" t="n"/>
      <c r="G101" s="66" t="n"/>
      <c r="H101" s="66" t="n"/>
      <c r="I101" s="66" t="n"/>
      <c r="J101" s="66" t="n"/>
      <c r="K101" s="66" t="n"/>
      <c r="L101" s="66" t="n"/>
      <c r="M101" s="66" t="n"/>
      <c r="N101" s="67">
        <f>IF(B101="","",(D101="Yes")+(E101="No")+(F101="No")+(G101="Weak")+(H101="No")+(I101="No")+(J101="No")+(K101="No")+(L101="No")+(M101="No"))</f>
        <v/>
      </c>
      <c r="O101" s="68">
        <f>IF(B101="","",IF(N101=0,"Done",IF(C101="High","Fix first",IF(C101="Moderate","Fix next",IF(C101="Low","Later","Set category")))))</f>
        <v/>
      </c>
    </row>
    <row r="102" ht="20" customHeight="1">
      <c r="B102" s="65" t="n"/>
      <c r="C102" s="66" t="n"/>
      <c r="D102" s="66" t="n"/>
      <c r="E102" s="66" t="n"/>
      <c r="F102" s="66" t="n"/>
      <c r="G102" s="66" t="n"/>
      <c r="H102" s="66" t="n"/>
      <c r="I102" s="66" t="n"/>
      <c r="J102" s="66" t="n"/>
      <c r="K102" s="66" t="n"/>
      <c r="L102" s="66" t="n"/>
      <c r="M102" s="66" t="n"/>
      <c r="N102" s="67">
        <f>IF(B102="","",(D102="Yes")+(E102="No")+(F102="No")+(G102="Weak")+(H102="No")+(I102="No")+(J102="No")+(K102="No")+(L102="No")+(M102="No"))</f>
        <v/>
      </c>
      <c r="O102" s="68">
        <f>IF(B102="","",IF(N102=0,"Done",IF(C102="High","Fix first",IF(C102="Moderate","Fix next",IF(C102="Low","Later","Set category")))))</f>
        <v/>
      </c>
    </row>
    <row r="103" ht="20" customHeight="1">
      <c r="B103" s="65" t="n"/>
      <c r="C103" s="66" t="n"/>
      <c r="D103" s="66" t="n"/>
      <c r="E103" s="66" t="n"/>
      <c r="F103" s="66" t="n"/>
      <c r="G103" s="66" t="n"/>
      <c r="H103" s="66" t="n"/>
      <c r="I103" s="66" t="n"/>
      <c r="J103" s="66" t="n"/>
      <c r="K103" s="66" t="n"/>
      <c r="L103" s="66" t="n"/>
      <c r="M103" s="66" t="n"/>
      <c r="N103" s="67">
        <f>IF(B103="","",(D103="Yes")+(E103="No")+(F103="No")+(G103="Weak")+(H103="No")+(I103="No")+(J103="No")+(K103="No")+(L103="No")+(M103="No"))</f>
        <v/>
      </c>
      <c r="O103" s="68">
        <f>IF(B103="","",IF(N103=0,"Done",IF(C103="High","Fix first",IF(C103="Moderate","Fix next",IF(C103="Low","Later","Set category")))))</f>
        <v/>
      </c>
    </row>
    <row r="104" ht="20" customHeight="1">
      <c r="B104" s="65" t="n"/>
      <c r="C104" s="66" t="n"/>
      <c r="D104" s="66" t="n"/>
      <c r="E104" s="66" t="n"/>
      <c r="F104" s="66" t="n"/>
      <c r="G104" s="66" t="n"/>
      <c r="H104" s="66" t="n"/>
      <c r="I104" s="66" t="n"/>
      <c r="J104" s="66" t="n"/>
      <c r="K104" s="66" t="n"/>
      <c r="L104" s="66" t="n"/>
      <c r="M104" s="66" t="n"/>
      <c r="N104" s="67">
        <f>IF(B104="","",(D104="Yes")+(E104="No")+(F104="No")+(G104="Weak")+(H104="No")+(I104="No")+(J104="No")+(K104="No")+(L104="No")+(M104="No"))</f>
        <v/>
      </c>
      <c r="O104" s="68">
        <f>IF(B104="","",IF(N104=0,"Done",IF(C104="High","Fix first",IF(C104="Moderate","Fix next",IF(C104="Low","Later","Set category")))))</f>
        <v/>
      </c>
    </row>
    <row r="105" ht="20" customHeight="1">
      <c r="B105" s="65" t="n"/>
      <c r="C105" s="66" t="n"/>
      <c r="D105" s="66" t="n"/>
      <c r="E105" s="66" t="n"/>
      <c r="F105" s="66" t="n"/>
      <c r="G105" s="66" t="n"/>
      <c r="H105" s="66" t="n"/>
      <c r="I105" s="66" t="n"/>
      <c r="J105" s="66" t="n"/>
      <c r="K105" s="66" t="n"/>
      <c r="L105" s="66" t="n"/>
      <c r="M105" s="66" t="n"/>
      <c r="N105" s="67">
        <f>IF(B105="","",(D105="Yes")+(E105="No")+(F105="No")+(G105="Weak")+(H105="No")+(I105="No")+(J105="No")+(K105="No")+(L105="No")+(M105="No"))</f>
        <v/>
      </c>
      <c r="O105" s="68">
        <f>IF(B105="","",IF(N105=0,"Done",IF(C105="High","Fix first",IF(C105="Moderate","Fix next",IF(C105="Low","Later","Set category")))))</f>
        <v/>
      </c>
    </row>
    <row r="106" ht="20" customHeight="1">
      <c r="B106" s="65" t="n"/>
      <c r="C106" s="66" t="n"/>
      <c r="D106" s="66" t="n"/>
      <c r="E106" s="66" t="n"/>
      <c r="F106" s="66" t="n"/>
      <c r="G106" s="66" t="n"/>
      <c r="H106" s="66" t="n"/>
      <c r="I106" s="66" t="n"/>
      <c r="J106" s="66" t="n"/>
      <c r="K106" s="66" t="n"/>
      <c r="L106" s="66" t="n"/>
      <c r="M106" s="66" t="n"/>
      <c r="N106" s="67">
        <f>IF(B106="","",(D106="Yes")+(E106="No")+(F106="No")+(G106="Weak")+(H106="No")+(I106="No")+(J106="No")+(K106="No")+(L106="No")+(M106="No"))</f>
        <v/>
      </c>
      <c r="O106" s="68">
        <f>IF(B106="","",IF(N106=0,"Done",IF(C106="High","Fix first",IF(C106="Moderate","Fix next",IF(C106="Low","Later","Set category")))))</f>
        <v/>
      </c>
    </row>
    <row r="107" ht="20" customHeight="1">
      <c r="B107" s="65" t="n"/>
      <c r="C107" s="66" t="n"/>
      <c r="D107" s="66" t="n"/>
      <c r="E107" s="66" t="n"/>
      <c r="F107" s="66" t="n"/>
      <c r="G107" s="66" t="n"/>
      <c r="H107" s="66" t="n"/>
      <c r="I107" s="66" t="n"/>
      <c r="J107" s="66" t="n"/>
      <c r="K107" s="66" t="n"/>
      <c r="L107" s="66" t="n"/>
      <c r="M107" s="66" t="n"/>
      <c r="N107" s="67">
        <f>IF(B107="","",(D107="Yes")+(E107="No")+(F107="No")+(G107="Weak")+(H107="No")+(I107="No")+(J107="No")+(K107="No")+(L107="No")+(M107="No"))</f>
        <v/>
      </c>
      <c r="O107" s="68">
        <f>IF(B107="","",IF(N107=0,"Done",IF(C107="High","Fix first",IF(C107="Moderate","Fix next",IF(C107="Low","Later","Set category")))))</f>
        <v/>
      </c>
    </row>
    <row r="108" ht="20" customHeight="1">
      <c r="B108" s="65" t="n"/>
      <c r="C108" s="66" t="n"/>
      <c r="D108" s="66" t="n"/>
      <c r="E108" s="66" t="n"/>
      <c r="F108" s="66" t="n"/>
      <c r="G108" s="66" t="n"/>
      <c r="H108" s="66" t="n"/>
      <c r="I108" s="66" t="n"/>
      <c r="J108" s="66" t="n"/>
      <c r="K108" s="66" t="n"/>
      <c r="L108" s="66" t="n"/>
      <c r="M108" s="66" t="n"/>
      <c r="N108" s="67">
        <f>IF(B108="","",(D108="Yes")+(E108="No")+(F108="No")+(G108="Weak")+(H108="No")+(I108="No")+(J108="No")+(K108="No")+(L108="No")+(M108="No"))</f>
        <v/>
      </c>
      <c r="O108" s="68">
        <f>IF(B108="","",IF(N108=0,"Done",IF(C108="High","Fix first",IF(C108="Moderate","Fix next",IF(C108="Low","Later","Set category")))))</f>
        <v/>
      </c>
    </row>
    <row r="109" ht="20" customHeight="1">
      <c r="B109" s="65" t="n"/>
      <c r="C109" s="66" t="n"/>
      <c r="D109" s="66" t="n"/>
      <c r="E109" s="66" t="n"/>
      <c r="F109" s="66" t="n"/>
      <c r="G109" s="66" t="n"/>
      <c r="H109" s="66" t="n"/>
      <c r="I109" s="66" t="n"/>
      <c r="J109" s="66" t="n"/>
      <c r="K109" s="66" t="n"/>
      <c r="L109" s="66" t="n"/>
      <c r="M109" s="66" t="n"/>
      <c r="N109" s="67">
        <f>IF(B109="","",(D109="Yes")+(E109="No")+(F109="No")+(G109="Weak")+(H109="No")+(I109="No")+(J109="No")+(K109="No")+(L109="No")+(M109="No"))</f>
        <v/>
      </c>
      <c r="O109" s="68">
        <f>IF(B109="","",IF(N109=0,"Done",IF(C109="High","Fix first",IF(C109="Moderate","Fix next",IF(C109="Low","Later","Set category")))))</f>
        <v/>
      </c>
    </row>
    <row r="110" ht="20" customHeight="1">
      <c r="B110" s="65" t="n"/>
      <c r="C110" s="66" t="n"/>
      <c r="D110" s="66" t="n"/>
      <c r="E110" s="66" t="n"/>
      <c r="F110" s="66" t="n"/>
      <c r="G110" s="66" t="n"/>
      <c r="H110" s="66" t="n"/>
      <c r="I110" s="66" t="n"/>
      <c r="J110" s="66" t="n"/>
      <c r="K110" s="66" t="n"/>
      <c r="L110" s="66" t="n"/>
      <c r="M110" s="66" t="n"/>
      <c r="N110" s="67">
        <f>IF(B110="","",(D110="Yes")+(E110="No")+(F110="No")+(G110="Weak")+(H110="No")+(I110="No")+(J110="No")+(K110="No")+(L110="No")+(M110="No"))</f>
        <v/>
      </c>
      <c r="O110" s="68">
        <f>IF(B110="","",IF(N110=0,"Done",IF(C110="High","Fix first",IF(C110="Moderate","Fix next",IF(C110="Low","Later","Set category")))))</f>
        <v/>
      </c>
    </row>
    <row r="111" ht="20" customHeight="1">
      <c r="B111" s="65" t="n"/>
      <c r="C111" s="66" t="n"/>
      <c r="D111" s="66" t="n"/>
      <c r="E111" s="66" t="n"/>
      <c r="F111" s="66" t="n"/>
      <c r="G111" s="66" t="n"/>
      <c r="H111" s="66" t="n"/>
      <c r="I111" s="66" t="n"/>
      <c r="J111" s="66" t="n"/>
      <c r="K111" s="66" t="n"/>
      <c r="L111" s="66" t="n"/>
      <c r="M111" s="66" t="n"/>
      <c r="N111" s="67">
        <f>IF(B111="","",(D111="Yes")+(E111="No")+(F111="No")+(G111="Weak")+(H111="No")+(I111="No")+(J111="No")+(K111="No")+(L111="No")+(M111="No"))</f>
        <v/>
      </c>
      <c r="O111" s="68">
        <f>IF(B111="","",IF(N111=0,"Done",IF(C111="High","Fix first",IF(C111="Moderate","Fix next",IF(C111="Low","Later","Set category")))))</f>
        <v/>
      </c>
    </row>
    <row r="112" ht="20" customHeight="1">
      <c r="B112" s="65" t="n"/>
      <c r="C112" s="66" t="n"/>
      <c r="D112" s="66" t="n"/>
      <c r="E112" s="66" t="n"/>
      <c r="F112" s="66" t="n"/>
      <c r="G112" s="66" t="n"/>
      <c r="H112" s="66" t="n"/>
      <c r="I112" s="66" t="n"/>
      <c r="J112" s="66" t="n"/>
      <c r="K112" s="66" t="n"/>
      <c r="L112" s="66" t="n"/>
      <c r="M112" s="66" t="n"/>
      <c r="N112" s="67">
        <f>IF(B112="","",(D112="Yes")+(E112="No")+(F112="No")+(G112="Weak")+(H112="No")+(I112="No")+(J112="No")+(K112="No")+(L112="No")+(M112="No"))</f>
        <v/>
      </c>
      <c r="O112" s="68">
        <f>IF(B112="","",IF(N112=0,"Done",IF(C112="High","Fix first",IF(C112="Moderate","Fix next",IF(C112="Low","Later","Set category")))))</f>
        <v/>
      </c>
    </row>
    <row r="113" ht="20" customHeight="1">
      <c r="B113" s="65" t="n"/>
      <c r="C113" s="66" t="n"/>
      <c r="D113" s="66" t="n"/>
      <c r="E113" s="66" t="n"/>
      <c r="F113" s="66" t="n"/>
      <c r="G113" s="66" t="n"/>
      <c r="H113" s="66" t="n"/>
      <c r="I113" s="66" t="n"/>
      <c r="J113" s="66" t="n"/>
      <c r="K113" s="66" t="n"/>
      <c r="L113" s="66" t="n"/>
      <c r="M113" s="66" t="n"/>
      <c r="N113" s="67">
        <f>IF(B113="","",(D113="Yes")+(E113="No")+(F113="No")+(G113="Weak")+(H113="No")+(I113="No")+(J113="No")+(K113="No")+(L113="No")+(M113="No"))</f>
        <v/>
      </c>
      <c r="O113" s="68">
        <f>IF(B113="","",IF(N113=0,"Done",IF(C113="High","Fix first",IF(C113="Moderate","Fix next",IF(C113="Low","Later","Set category")))))</f>
        <v/>
      </c>
    </row>
    <row r="114" ht="20" customHeight="1">
      <c r="B114" s="65" t="n"/>
      <c r="C114" s="66" t="n"/>
      <c r="D114" s="66" t="n"/>
      <c r="E114" s="66" t="n"/>
      <c r="F114" s="66" t="n"/>
      <c r="G114" s="66" t="n"/>
      <c r="H114" s="66" t="n"/>
      <c r="I114" s="66" t="n"/>
      <c r="J114" s="66" t="n"/>
      <c r="K114" s="66" t="n"/>
      <c r="L114" s="66" t="n"/>
      <c r="M114" s="66" t="n"/>
      <c r="N114" s="67">
        <f>IF(B114="","",(D114="Yes")+(E114="No")+(F114="No")+(G114="Weak")+(H114="No")+(I114="No")+(J114="No")+(K114="No")+(L114="No")+(M114="No"))</f>
        <v/>
      </c>
      <c r="O114" s="68">
        <f>IF(B114="","",IF(N114=0,"Done",IF(C114="High","Fix first",IF(C114="Moderate","Fix next",IF(C114="Low","Later","Set category")))))</f>
        <v/>
      </c>
    </row>
    <row r="115" ht="20" customHeight="1">
      <c r="B115" s="65" t="n"/>
      <c r="C115" s="66" t="n"/>
      <c r="D115" s="66" t="n"/>
      <c r="E115" s="66" t="n"/>
      <c r="F115" s="66" t="n"/>
      <c r="G115" s="66" t="n"/>
      <c r="H115" s="66" t="n"/>
      <c r="I115" s="66" t="n"/>
      <c r="J115" s="66" t="n"/>
      <c r="K115" s="66" t="n"/>
      <c r="L115" s="66" t="n"/>
      <c r="M115" s="66" t="n"/>
      <c r="N115" s="67">
        <f>IF(B115="","",(D115="Yes")+(E115="No")+(F115="No")+(G115="Weak")+(H115="No")+(I115="No")+(J115="No")+(K115="No")+(L115="No")+(M115="No"))</f>
        <v/>
      </c>
      <c r="O115" s="68">
        <f>IF(B115="","",IF(N115=0,"Done",IF(C115="High","Fix first",IF(C115="Moderate","Fix next",IF(C115="Low","Later","Set category")))))</f>
        <v/>
      </c>
    </row>
    <row r="116" ht="20" customHeight="1">
      <c r="B116" s="65" t="n"/>
      <c r="C116" s="66" t="n"/>
      <c r="D116" s="66" t="n"/>
      <c r="E116" s="66" t="n"/>
      <c r="F116" s="66" t="n"/>
      <c r="G116" s="66" t="n"/>
      <c r="H116" s="66" t="n"/>
      <c r="I116" s="66" t="n"/>
      <c r="J116" s="66" t="n"/>
      <c r="K116" s="66" t="n"/>
      <c r="L116" s="66" t="n"/>
      <c r="M116" s="66" t="n"/>
      <c r="N116" s="67">
        <f>IF(B116="","",(D116="Yes")+(E116="No")+(F116="No")+(G116="Weak")+(H116="No")+(I116="No")+(J116="No")+(K116="No")+(L116="No")+(M116="No"))</f>
        <v/>
      </c>
      <c r="O116" s="68">
        <f>IF(B116="","",IF(N116=0,"Done",IF(C116="High","Fix first",IF(C116="Moderate","Fix next",IF(C116="Low","Later","Set category")))))</f>
        <v/>
      </c>
    </row>
    <row r="117" ht="20" customHeight="1">
      <c r="B117" s="65" t="n"/>
      <c r="C117" s="66" t="n"/>
      <c r="D117" s="66" t="n"/>
      <c r="E117" s="66" t="n"/>
      <c r="F117" s="66" t="n"/>
      <c r="G117" s="66" t="n"/>
      <c r="H117" s="66" t="n"/>
      <c r="I117" s="66" t="n"/>
      <c r="J117" s="66" t="n"/>
      <c r="K117" s="66" t="n"/>
      <c r="L117" s="66" t="n"/>
      <c r="M117" s="66" t="n"/>
      <c r="N117" s="67">
        <f>IF(B117="","",(D117="Yes")+(E117="No")+(F117="No")+(G117="Weak")+(H117="No")+(I117="No")+(J117="No")+(K117="No")+(L117="No")+(M117="No"))</f>
        <v/>
      </c>
      <c r="O117" s="68">
        <f>IF(B117="","",IF(N117=0,"Done",IF(C117="High","Fix first",IF(C117="Moderate","Fix next",IF(C117="Low","Later","Set category")))))</f>
        <v/>
      </c>
    </row>
    <row r="118" ht="20" customHeight="1">
      <c r="B118" s="65" t="n"/>
      <c r="C118" s="66" t="n"/>
      <c r="D118" s="66" t="n"/>
      <c r="E118" s="66" t="n"/>
      <c r="F118" s="66" t="n"/>
      <c r="G118" s="66" t="n"/>
      <c r="H118" s="66" t="n"/>
      <c r="I118" s="66" t="n"/>
      <c r="J118" s="66" t="n"/>
      <c r="K118" s="66" t="n"/>
      <c r="L118" s="66" t="n"/>
      <c r="M118" s="66" t="n"/>
      <c r="N118" s="67">
        <f>IF(B118="","",(D118="Yes")+(E118="No")+(F118="No")+(G118="Weak")+(H118="No")+(I118="No")+(J118="No")+(K118="No")+(L118="No")+(M118="No"))</f>
        <v/>
      </c>
      <c r="O118" s="68">
        <f>IF(B118="","",IF(N118=0,"Done",IF(C118="High","Fix first",IF(C118="Moderate","Fix next",IF(C118="Low","Later","Set category")))))</f>
        <v/>
      </c>
    </row>
    <row r="119" ht="20" customHeight="1">
      <c r="B119" s="65" t="n"/>
      <c r="C119" s="66" t="n"/>
      <c r="D119" s="66" t="n"/>
      <c r="E119" s="66" t="n"/>
      <c r="F119" s="66" t="n"/>
      <c r="G119" s="66" t="n"/>
      <c r="H119" s="66" t="n"/>
      <c r="I119" s="66" t="n"/>
      <c r="J119" s="66" t="n"/>
      <c r="K119" s="66" t="n"/>
      <c r="L119" s="66" t="n"/>
      <c r="M119" s="66" t="n"/>
      <c r="N119" s="67">
        <f>IF(B119="","",(D119="Yes")+(E119="No")+(F119="No")+(G119="Weak")+(H119="No")+(I119="No")+(J119="No")+(K119="No")+(L119="No")+(M119="No"))</f>
        <v/>
      </c>
      <c r="O119" s="68">
        <f>IF(B119="","",IF(N119=0,"Done",IF(C119="High","Fix first",IF(C119="Moderate","Fix next",IF(C119="Low","Later","Set category")))))</f>
        <v/>
      </c>
    </row>
    <row r="120" ht="20" customHeight="1">
      <c r="B120" s="65" t="n"/>
      <c r="C120" s="66" t="n"/>
      <c r="D120" s="66" t="n"/>
      <c r="E120" s="66" t="n"/>
      <c r="F120" s="66" t="n"/>
      <c r="G120" s="66" t="n"/>
      <c r="H120" s="66" t="n"/>
      <c r="I120" s="66" t="n"/>
      <c r="J120" s="66" t="n"/>
      <c r="K120" s="66" t="n"/>
      <c r="L120" s="66" t="n"/>
      <c r="M120" s="66" t="n"/>
      <c r="N120" s="67">
        <f>IF(B120="","",(D120="Yes")+(E120="No")+(F120="No")+(G120="Weak")+(H120="No")+(I120="No")+(J120="No")+(K120="No")+(L120="No")+(M120="No"))</f>
        <v/>
      </c>
      <c r="O120" s="68">
        <f>IF(B120="","",IF(N120=0,"Done",IF(C120="High","Fix first",IF(C120="Moderate","Fix next",IF(C120="Low","Later","Set category")))))</f>
        <v/>
      </c>
    </row>
    <row r="121" ht="20" customHeight="1">
      <c r="B121" s="65" t="n"/>
      <c r="C121" s="66" t="n"/>
      <c r="D121" s="66" t="n"/>
      <c r="E121" s="66" t="n"/>
      <c r="F121" s="66" t="n"/>
      <c r="G121" s="66" t="n"/>
      <c r="H121" s="66" t="n"/>
      <c r="I121" s="66" t="n"/>
      <c r="J121" s="66" t="n"/>
      <c r="K121" s="66" t="n"/>
      <c r="L121" s="66" t="n"/>
      <c r="M121" s="66" t="n"/>
      <c r="N121" s="67">
        <f>IF(B121="","",(D121="Yes")+(E121="No")+(F121="No")+(G121="Weak")+(H121="No")+(I121="No")+(J121="No")+(K121="No")+(L121="No")+(M121="No"))</f>
        <v/>
      </c>
      <c r="O121" s="68">
        <f>IF(B121="","",IF(N121=0,"Done",IF(C121="High","Fix first",IF(C121="Moderate","Fix next",IF(C121="Low","Later","Set category")))))</f>
        <v/>
      </c>
    </row>
    <row r="122" ht="20" customHeight="1">
      <c r="B122" s="65" t="n"/>
      <c r="C122" s="66" t="n"/>
      <c r="D122" s="66" t="n"/>
      <c r="E122" s="66" t="n"/>
      <c r="F122" s="66" t="n"/>
      <c r="G122" s="66" t="n"/>
      <c r="H122" s="66" t="n"/>
      <c r="I122" s="66" t="n"/>
      <c r="J122" s="66" t="n"/>
      <c r="K122" s="66" t="n"/>
      <c r="L122" s="66" t="n"/>
      <c r="M122" s="66" t="n"/>
      <c r="N122" s="67">
        <f>IF(B122="","",(D122="Yes")+(E122="No")+(F122="No")+(G122="Weak")+(H122="No")+(I122="No")+(J122="No")+(K122="No")+(L122="No")+(M122="No"))</f>
        <v/>
      </c>
      <c r="O122" s="68">
        <f>IF(B122="","",IF(N122=0,"Done",IF(C122="High","Fix first",IF(C122="Moderate","Fix next",IF(C122="Low","Later","Set category")))))</f>
        <v/>
      </c>
    </row>
    <row r="123" ht="20" customHeight="1">
      <c r="B123" s="65" t="n"/>
      <c r="C123" s="66" t="n"/>
      <c r="D123" s="66" t="n"/>
      <c r="E123" s="66" t="n"/>
      <c r="F123" s="66" t="n"/>
      <c r="G123" s="66" t="n"/>
      <c r="H123" s="66" t="n"/>
      <c r="I123" s="66" t="n"/>
      <c r="J123" s="66" t="n"/>
      <c r="K123" s="66" t="n"/>
      <c r="L123" s="66" t="n"/>
      <c r="M123" s="66" t="n"/>
      <c r="N123" s="67">
        <f>IF(B123="","",(D123="Yes")+(E123="No")+(F123="No")+(G123="Weak")+(H123="No")+(I123="No")+(J123="No")+(K123="No")+(L123="No")+(M123="No"))</f>
        <v/>
      </c>
      <c r="O123" s="68">
        <f>IF(B123="","",IF(N123=0,"Done",IF(C123="High","Fix first",IF(C123="Moderate","Fix next",IF(C123="Low","Later","Set category")))))</f>
        <v/>
      </c>
    </row>
    <row r="124" ht="20" customHeight="1">
      <c r="B124" s="65" t="n"/>
      <c r="C124" s="66" t="n"/>
      <c r="D124" s="66" t="n"/>
      <c r="E124" s="66" t="n"/>
      <c r="F124" s="66" t="n"/>
      <c r="G124" s="66" t="n"/>
      <c r="H124" s="66" t="n"/>
      <c r="I124" s="66" t="n"/>
      <c r="J124" s="66" t="n"/>
      <c r="K124" s="66" t="n"/>
      <c r="L124" s="66" t="n"/>
      <c r="M124" s="66" t="n"/>
      <c r="N124" s="67">
        <f>IF(B124="","",(D124="Yes")+(E124="No")+(F124="No")+(G124="Weak")+(H124="No")+(I124="No")+(J124="No")+(K124="No")+(L124="No")+(M124="No"))</f>
        <v/>
      </c>
      <c r="O124" s="68">
        <f>IF(B124="","",IF(N124=0,"Done",IF(C124="High","Fix first",IF(C124="Moderate","Fix next",IF(C124="Low","Later","Set category")))))</f>
        <v/>
      </c>
    </row>
    <row r="125" ht="20" customHeight="1">
      <c r="B125" s="65" t="n"/>
      <c r="C125" s="66" t="n"/>
      <c r="D125" s="66" t="n"/>
      <c r="E125" s="66" t="n"/>
      <c r="F125" s="66" t="n"/>
      <c r="G125" s="66" t="n"/>
      <c r="H125" s="66" t="n"/>
      <c r="I125" s="66" t="n"/>
      <c r="J125" s="66" t="n"/>
      <c r="K125" s="66" t="n"/>
      <c r="L125" s="66" t="n"/>
      <c r="M125" s="66" t="n"/>
      <c r="N125" s="67">
        <f>IF(B125="","",(D125="Yes")+(E125="No")+(F125="No")+(G125="Weak")+(H125="No")+(I125="No")+(J125="No")+(K125="No")+(L125="No")+(M125="No"))</f>
        <v/>
      </c>
      <c r="O125" s="68">
        <f>IF(B125="","",IF(N125=0,"Done",IF(C125="High","Fix first",IF(C125="Moderate","Fix next",IF(C125="Low","Later","Set category")))))</f>
        <v/>
      </c>
    </row>
    <row r="126" ht="20" customHeight="1">
      <c r="B126" s="65" t="n"/>
      <c r="C126" s="66" t="n"/>
      <c r="D126" s="66" t="n"/>
      <c r="E126" s="66" t="n"/>
      <c r="F126" s="66" t="n"/>
      <c r="G126" s="66" t="n"/>
      <c r="H126" s="66" t="n"/>
      <c r="I126" s="66" t="n"/>
      <c r="J126" s="66" t="n"/>
      <c r="K126" s="66" t="n"/>
      <c r="L126" s="66" t="n"/>
      <c r="M126" s="66" t="n"/>
      <c r="N126" s="67">
        <f>IF(B126="","",(D126="Yes")+(E126="No")+(F126="No")+(G126="Weak")+(H126="No")+(I126="No")+(J126="No")+(K126="No")+(L126="No")+(M126="No"))</f>
        <v/>
      </c>
      <c r="O126" s="68">
        <f>IF(B126="","",IF(N126=0,"Done",IF(C126="High","Fix first",IF(C126="Moderate","Fix next",IF(C126="Low","Later","Set category")))))</f>
        <v/>
      </c>
    </row>
    <row r="127" ht="20" customHeight="1">
      <c r="B127" s="65" t="n"/>
      <c r="C127" s="66" t="n"/>
      <c r="D127" s="66" t="n"/>
      <c r="E127" s="66" t="n"/>
      <c r="F127" s="66" t="n"/>
      <c r="G127" s="66" t="n"/>
      <c r="H127" s="66" t="n"/>
      <c r="I127" s="66" t="n"/>
      <c r="J127" s="66" t="n"/>
      <c r="K127" s="66" t="n"/>
      <c r="L127" s="66" t="n"/>
      <c r="M127" s="66" t="n"/>
      <c r="N127" s="67">
        <f>IF(B127="","",(D127="Yes")+(E127="No")+(F127="No")+(G127="Weak")+(H127="No")+(I127="No")+(J127="No")+(K127="No")+(L127="No")+(M127="No"))</f>
        <v/>
      </c>
      <c r="O127" s="68">
        <f>IF(B127="","",IF(N127=0,"Done",IF(C127="High","Fix first",IF(C127="Moderate","Fix next",IF(C127="Low","Later","Set category")))))</f>
        <v/>
      </c>
    </row>
    <row r="128" ht="20" customHeight="1">
      <c r="B128" s="65" t="n"/>
      <c r="C128" s="66" t="n"/>
      <c r="D128" s="66" t="n"/>
      <c r="E128" s="66" t="n"/>
      <c r="F128" s="66" t="n"/>
      <c r="G128" s="66" t="n"/>
      <c r="H128" s="66" t="n"/>
      <c r="I128" s="66" t="n"/>
      <c r="J128" s="66" t="n"/>
      <c r="K128" s="66" t="n"/>
      <c r="L128" s="66" t="n"/>
      <c r="M128" s="66" t="n"/>
      <c r="N128" s="67">
        <f>IF(B128="","",(D128="Yes")+(E128="No")+(F128="No")+(G128="Weak")+(H128="No")+(I128="No")+(J128="No")+(K128="No")+(L128="No")+(M128="No"))</f>
        <v/>
      </c>
      <c r="O128" s="68">
        <f>IF(B128="","",IF(N128=0,"Done",IF(C128="High","Fix first",IF(C128="Moderate","Fix next",IF(C128="Low","Later","Set category")))))</f>
        <v/>
      </c>
    </row>
    <row r="129" ht="20" customHeight="1">
      <c r="B129" s="65" t="n"/>
      <c r="C129" s="66" t="n"/>
      <c r="D129" s="66" t="n"/>
      <c r="E129" s="66" t="n"/>
      <c r="F129" s="66" t="n"/>
      <c r="G129" s="66" t="n"/>
      <c r="H129" s="66" t="n"/>
      <c r="I129" s="66" t="n"/>
      <c r="J129" s="66" t="n"/>
      <c r="K129" s="66" t="n"/>
      <c r="L129" s="66" t="n"/>
      <c r="M129" s="66" t="n"/>
      <c r="N129" s="67">
        <f>IF(B129="","",(D129="Yes")+(E129="No")+(F129="No")+(G129="Weak")+(H129="No")+(I129="No")+(J129="No")+(K129="No")+(L129="No")+(M129="No"))</f>
        <v/>
      </c>
      <c r="O129" s="68">
        <f>IF(B129="","",IF(N129=0,"Done",IF(C129="High","Fix first",IF(C129="Moderate","Fix next",IF(C129="Low","Later","Set category")))))</f>
        <v/>
      </c>
    </row>
    <row r="130" ht="20" customHeight="1">
      <c r="B130" s="65" t="n"/>
      <c r="C130" s="66" t="n"/>
      <c r="D130" s="66" t="n"/>
      <c r="E130" s="66" t="n"/>
      <c r="F130" s="66" t="n"/>
      <c r="G130" s="66" t="n"/>
      <c r="H130" s="66" t="n"/>
      <c r="I130" s="66" t="n"/>
      <c r="J130" s="66" t="n"/>
      <c r="K130" s="66" t="n"/>
      <c r="L130" s="66" t="n"/>
      <c r="M130" s="66" t="n"/>
      <c r="N130" s="67">
        <f>IF(B130="","",(D130="Yes")+(E130="No")+(F130="No")+(G130="Weak")+(H130="No")+(I130="No")+(J130="No")+(K130="No")+(L130="No")+(M130="No"))</f>
        <v/>
      </c>
      <c r="O130" s="68">
        <f>IF(B130="","",IF(N130=0,"Done",IF(C130="High","Fix first",IF(C130="Moderate","Fix next",IF(C130="Low","Later","Set category")))))</f>
        <v/>
      </c>
    </row>
    <row r="131" ht="20" customHeight="1">
      <c r="B131" s="65" t="n"/>
      <c r="C131" s="66" t="n"/>
      <c r="D131" s="66" t="n"/>
      <c r="E131" s="66" t="n"/>
      <c r="F131" s="66" t="n"/>
      <c r="G131" s="66" t="n"/>
      <c r="H131" s="66" t="n"/>
      <c r="I131" s="66" t="n"/>
      <c r="J131" s="66" t="n"/>
      <c r="K131" s="66" t="n"/>
      <c r="L131" s="66" t="n"/>
      <c r="M131" s="66" t="n"/>
      <c r="N131" s="67">
        <f>IF(B131="","",(D131="Yes")+(E131="No")+(F131="No")+(G131="Weak")+(H131="No")+(I131="No")+(J131="No")+(K131="No")+(L131="No")+(M131="No"))</f>
        <v/>
      </c>
      <c r="O131" s="68">
        <f>IF(B131="","",IF(N131=0,"Done",IF(C131="High","Fix first",IF(C131="Moderate","Fix next",IF(C131="Low","Later","Set category")))))</f>
        <v/>
      </c>
    </row>
    <row r="132" ht="20" customHeight="1">
      <c r="B132" s="65" t="n"/>
      <c r="C132" s="66" t="n"/>
      <c r="D132" s="66" t="n"/>
      <c r="E132" s="66" t="n"/>
      <c r="F132" s="66" t="n"/>
      <c r="G132" s="66" t="n"/>
      <c r="H132" s="66" t="n"/>
      <c r="I132" s="66" t="n"/>
      <c r="J132" s="66" t="n"/>
      <c r="K132" s="66" t="n"/>
      <c r="L132" s="66" t="n"/>
      <c r="M132" s="66" t="n"/>
      <c r="N132" s="67">
        <f>IF(B132="","",(D132="Yes")+(E132="No")+(F132="No")+(G132="Weak")+(H132="No")+(I132="No")+(J132="No")+(K132="No")+(L132="No")+(M132="No"))</f>
        <v/>
      </c>
      <c r="O132" s="68">
        <f>IF(B132="","",IF(N132=0,"Done",IF(C132="High","Fix first",IF(C132="Moderate","Fix next",IF(C132="Low","Later","Set category")))))</f>
        <v/>
      </c>
    </row>
    <row r="133" ht="20" customHeight="1">
      <c r="B133" s="65" t="n"/>
      <c r="C133" s="66" t="n"/>
      <c r="D133" s="66" t="n"/>
      <c r="E133" s="66" t="n"/>
      <c r="F133" s="66" t="n"/>
      <c r="G133" s="66" t="n"/>
      <c r="H133" s="66" t="n"/>
      <c r="I133" s="66" t="n"/>
      <c r="J133" s="66" t="n"/>
      <c r="K133" s="66" t="n"/>
      <c r="L133" s="66" t="n"/>
      <c r="M133" s="66" t="n"/>
      <c r="N133" s="67">
        <f>IF(B133="","",(D133="Yes")+(E133="No")+(F133="No")+(G133="Weak")+(H133="No")+(I133="No")+(J133="No")+(K133="No")+(L133="No")+(M133="No"))</f>
        <v/>
      </c>
      <c r="O133" s="68">
        <f>IF(B133="","",IF(N133=0,"Done",IF(C133="High","Fix first",IF(C133="Moderate","Fix next",IF(C133="Low","Later","Set category")))))</f>
        <v/>
      </c>
    </row>
    <row r="134" ht="20" customHeight="1">
      <c r="B134" s="65" t="n"/>
      <c r="C134" s="66" t="n"/>
      <c r="D134" s="66" t="n"/>
      <c r="E134" s="66" t="n"/>
      <c r="F134" s="66" t="n"/>
      <c r="G134" s="66" t="n"/>
      <c r="H134" s="66" t="n"/>
      <c r="I134" s="66" t="n"/>
      <c r="J134" s="66" t="n"/>
      <c r="K134" s="66" t="n"/>
      <c r="L134" s="66" t="n"/>
      <c r="M134" s="66" t="n"/>
      <c r="N134" s="67">
        <f>IF(B134="","",(D134="Yes")+(E134="No")+(F134="No")+(G134="Weak")+(H134="No")+(I134="No")+(J134="No")+(K134="No")+(L134="No")+(M134="No"))</f>
        <v/>
      </c>
      <c r="O134" s="68">
        <f>IF(B134="","",IF(N134=0,"Done",IF(C134="High","Fix first",IF(C134="Moderate","Fix next",IF(C134="Low","Later","Set category")))))</f>
        <v/>
      </c>
    </row>
    <row r="135" ht="20" customHeight="1">
      <c r="B135" s="65" t="n"/>
      <c r="C135" s="66" t="n"/>
      <c r="D135" s="66" t="n"/>
      <c r="E135" s="66" t="n"/>
      <c r="F135" s="66" t="n"/>
      <c r="G135" s="66" t="n"/>
      <c r="H135" s="66" t="n"/>
      <c r="I135" s="66" t="n"/>
      <c r="J135" s="66" t="n"/>
      <c r="K135" s="66" t="n"/>
      <c r="L135" s="66" t="n"/>
      <c r="M135" s="66" t="n"/>
      <c r="N135" s="67">
        <f>IF(B135="","",(D135="Yes")+(E135="No")+(F135="No")+(G135="Weak")+(H135="No")+(I135="No")+(J135="No")+(K135="No")+(L135="No")+(M135="No"))</f>
        <v/>
      </c>
      <c r="O135" s="68">
        <f>IF(B135="","",IF(N135=0,"Done",IF(C135="High","Fix first",IF(C135="Moderate","Fix next",IF(C135="Low","Later","Set category")))))</f>
        <v/>
      </c>
    </row>
    <row r="136" ht="20" customHeight="1">
      <c r="B136" s="65" t="n"/>
      <c r="C136" s="66" t="n"/>
      <c r="D136" s="66" t="n"/>
      <c r="E136" s="66" t="n"/>
      <c r="F136" s="66" t="n"/>
      <c r="G136" s="66" t="n"/>
      <c r="H136" s="66" t="n"/>
      <c r="I136" s="66" t="n"/>
      <c r="J136" s="66" t="n"/>
      <c r="K136" s="66" t="n"/>
      <c r="L136" s="66" t="n"/>
      <c r="M136" s="66" t="n"/>
      <c r="N136" s="67">
        <f>IF(B136="","",(D136="Yes")+(E136="No")+(F136="No")+(G136="Weak")+(H136="No")+(I136="No")+(J136="No")+(K136="No")+(L136="No")+(M136="No"))</f>
        <v/>
      </c>
      <c r="O136" s="68">
        <f>IF(B136="","",IF(N136=0,"Done",IF(C136="High","Fix first",IF(C136="Moderate","Fix next",IF(C136="Low","Later","Set category")))))</f>
        <v/>
      </c>
    </row>
    <row r="137" ht="20" customHeight="1">
      <c r="B137" s="65" t="n"/>
      <c r="C137" s="66" t="n"/>
      <c r="D137" s="66" t="n"/>
      <c r="E137" s="66" t="n"/>
      <c r="F137" s="66" t="n"/>
      <c r="G137" s="66" t="n"/>
      <c r="H137" s="66" t="n"/>
      <c r="I137" s="66" t="n"/>
      <c r="J137" s="66" t="n"/>
      <c r="K137" s="66" t="n"/>
      <c r="L137" s="66" t="n"/>
      <c r="M137" s="66" t="n"/>
      <c r="N137" s="67">
        <f>IF(B137="","",(D137="Yes")+(E137="No")+(F137="No")+(G137="Weak")+(H137="No")+(I137="No")+(J137="No")+(K137="No")+(L137="No")+(M137="No"))</f>
        <v/>
      </c>
      <c r="O137" s="68">
        <f>IF(B137="","",IF(N137=0,"Done",IF(C137="High","Fix first",IF(C137="Moderate","Fix next",IF(C137="Low","Later","Set category")))))</f>
        <v/>
      </c>
    </row>
    <row r="138" ht="20" customHeight="1">
      <c r="B138" s="65" t="n"/>
      <c r="C138" s="66" t="n"/>
      <c r="D138" s="66" t="n"/>
      <c r="E138" s="66" t="n"/>
      <c r="F138" s="66" t="n"/>
      <c r="G138" s="66" t="n"/>
      <c r="H138" s="66" t="n"/>
      <c r="I138" s="66" t="n"/>
      <c r="J138" s="66" t="n"/>
      <c r="K138" s="66" t="n"/>
      <c r="L138" s="66" t="n"/>
      <c r="M138" s="66" t="n"/>
      <c r="N138" s="67">
        <f>IF(B138="","",(D138="Yes")+(E138="No")+(F138="No")+(G138="Weak")+(H138="No")+(I138="No")+(J138="No")+(K138="No")+(L138="No")+(M138="No"))</f>
        <v/>
      </c>
      <c r="O138" s="68">
        <f>IF(B138="","",IF(N138=0,"Done",IF(C138="High","Fix first",IF(C138="Moderate","Fix next",IF(C138="Low","Later","Set category")))))</f>
        <v/>
      </c>
    </row>
    <row r="139" ht="20" customHeight="1">
      <c r="B139" s="65" t="n"/>
      <c r="C139" s="66" t="n"/>
      <c r="D139" s="66" t="n"/>
      <c r="E139" s="66" t="n"/>
      <c r="F139" s="66" t="n"/>
      <c r="G139" s="66" t="n"/>
      <c r="H139" s="66" t="n"/>
      <c r="I139" s="66" t="n"/>
      <c r="J139" s="66" t="n"/>
      <c r="K139" s="66" t="n"/>
      <c r="L139" s="66" t="n"/>
      <c r="M139" s="66" t="n"/>
      <c r="N139" s="67">
        <f>IF(B139="","",(D139="Yes")+(E139="No")+(F139="No")+(G139="Weak")+(H139="No")+(I139="No")+(J139="No")+(K139="No")+(L139="No")+(M139="No"))</f>
        <v/>
      </c>
      <c r="O139" s="68">
        <f>IF(B139="","",IF(N139=0,"Done",IF(C139="High","Fix first",IF(C139="Moderate","Fix next",IF(C139="Low","Later","Set category")))))</f>
        <v/>
      </c>
    </row>
    <row r="140" ht="20" customHeight="1">
      <c r="B140" s="65" t="n"/>
      <c r="C140" s="66" t="n"/>
      <c r="D140" s="66" t="n"/>
      <c r="E140" s="66" t="n"/>
      <c r="F140" s="66" t="n"/>
      <c r="G140" s="66" t="n"/>
      <c r="H140" s="66" t="n"/>
      <c r="I140" s="66" t="n"/>
      <c r="J140" s="66" t="n"/>
      <c r="K140" s="66" t="n"/>
      <c r="L140" s="66" t="n"/>
      <c r="M140" s="66" t="n"/>
      <c r="N140" s="67">
        <f>IF(B140="","",(D140="Yes")+(E140="No")+(F140="No")+(G140="Weak")+(H140="No")+(I140="No")+(J140="No")+(K140="No")+(L140="No")+(M140="No"))</f>
        <v/>
      </c>
      <c r="O140" s="68">
        <f>IF(B140="","",IF(N140=0,"Done",IF(C140="High","Fix first",IF(C140="Moderate","Fix next",IF(C140="Low","Later","Set category")))))</f>
        <v/>
      </c>
    </row>
    <row r="141" ht="20" customHeight="1">
      <c r="B141" s="65" t="n"/>
      <c r="C141" s="66" t="n"/>
      <c r="D141" s="66" t="n"/>
      <c r="E141" s="66" t="n"/>
      <c r="F141" s="66" t="n"/>
      <c r="G141" s="66" t="n"/>
      <c r="H141" s="66" t="n"/>
      <c r="I141" s="66" t="n"/>
      <c r="J141" s="66" t="n"/>
      <c r="K141" s="66" t="n"/>
      <c r="L141" s="66" t="n"/>
      <c r="M141" s="66" t="n"/>
      <c r="N141" s="67">
        <f>IF(B141="","",(D141="Yes")+(E141="No")+(F141="No")+(G141="Weak")+(H141="No")+(I141="No")+(J141="No")+(K141="No")+(L141="No")+(M141="No"))</f>
        <v/>
      </c>
      <c r="O141" s="68">
        <f>IF(B141="","",IF(N141=0,"Done",IF(C141="High","Fix first",IF(C141="Moderate","Fix next",IF(C141="Low","Later","Set category")))))</f>
        <v/>
      </c>
    </row>
    <row r="142" ht="20" customHeight="1">
      <c r="B142" s="65" t="n"/>
      <c r="C142" s="66" t="n"/>
      <c r="D142" s="66" t="n"/>
      <c r="E142" s="66" t="n"/>
      <c r="F142" s="66" t="n"/>
      <c r="G142" s="66" t="n"/>
      <c r="H142" s="66" t="n"/>
      <c r="I142" s="66" t="n"/>
      <c r="J142" s="66" t="n"/>
      <c r="K142" s="66" t="n"/>
      <c r="L142" s="66" t="n"/>
      <c r="M142" s="66" t="n"/>
      <c r="N142" s="67">
        <f>IF(B142="","",(D142="Yes")+(E142="No")+(F142="No")+(G142="Weak")+(H142="No")+(I142="No")+(J142="No")+(K142="No")+(L142="No")+(M142="No"))</f>
        <v/>
      </c>
      <c r="O142" s="68">
        <f>IF(B142="","",IF(N142=0,"Done",IF(C142="High","Fix first",IF(C142="Moderate","Fix next",IF(C142="Low","Later","Set category")))))</f>
        <v/>
      </c>
    </row>
    <row r="143" ht="20" customHeight="1">
      <c r="B143" s="65" t="n"/>
      <c r="C143" s="66" t="n"/>
      <c r="D143" s="66" t="n"/>
      <c r="E143" s="66" t="n"/>
      <c r="F143" s="66" t="n"/>
      <c r="G143" s="66" t="n"/>
      <c r="H143" s="66" t="n"/>
      <c r="I143" s="66" t="n"/>
      <c r="J143" s="66" t="n"/>
      <c r="K143" s="66" t="n"/>
      <c r="L143" s="66" t="n"/>
      <c r="M143" s="66" t="n"/>
      <c r="N143" s="67">
        <f>IF(B143="","",(D143="Yes")+(E143="No")+(F143="No")+(G143="Weak")+(H143="No")+(I143="No")+(J143="No")+(K143="No")+(L143="No")+(M143="No"))</f>
        <v/>
      </c>
      <c r="O143" s="68">
        <f>IF(B143="","",IF(N143=0,"Done",IF(C143="High","Fix first",IF(C143="Moderate","Fix next",IF(C143="Low","Later","Set category")))))</f>
        <v/>
      </c>
    </row>
    <row r="144" ht="20" customHeight="1">
      <c r="B144" s="65" t="n"/>
      <c r="C144" s="66" t="n"/>
      <c r="D144" s="66" t="n"/>
      <c r="E144" s="66" t="n"/>
      <c r="F144" s="66" t="n"/>
      <c r="G144" s="66" t="n"/>
      <c r="H144" s="66" t="n"/>
      <c r="I144" s="66" t="n"/>
      <c r="J144" s="66" t="n"/>
      <c r="K144" s="66" t="n"/>
      <c r="L144" s="66" t="n"/>
      <c r="M144" s="66" t="n"/>
      <c r="N144" s="67">
        <f>IF(B144="","",(D144="Yes")+(E144="No")+(F144="No")+(G144="Weak")+(H144="No")+(I144="No")+(J144="No")+(K144="No")+(L144="No")+(M144="No"))</f>
        <v/>
      </c>
      <c r="O144" s="68">
        <f>IF(B144="","",IF(N144=0,"Done",IF(C144="High","Fix first",IF(C144="Moderate","Fix next",IF(C144="Low","Later","Set category")))))</f>
        <v/>
      </c>
    </row>
    <row r="145" ht="20" customHeight="1">
      <c r="B145" s="65" t="n"/>
      <c r="C145" s="66" t="n"/>
      <c r="D145" s="66" t="n"/>
      <c r="E145" s="66" t="n"/>
      <c r="F145" s="66" t="n"/>
      <c r="G145" s="66" t="n"/>
      <c r="H145" s="66" t="n"/>
      <c r="I145" s="66" t="n"/>
      <c r="J145" s="66" t="n"/>
      <c r="K145" s="66" t="n"/>
      <c r="L145" s="66" t="n"/>
      <c r="M145" s="66" t="n"/>
      <c r="N145" s="67">
        <f>IF(B145="","",(D145="Yes")+(E145="No")+(F145="No")+(G145="Weak")+(H145="No")+(I145="No")+(J145="No")+(K145="No")+(L145="No")+(M145="No"))</f>
        <v/>
      </c>
      <c r="O145" s="68">
        <f>IF(B145="","",IF(N145=0,"Done",IF(C145="High","Fix first",IF(C145="Moderate","Fix next",IF(C145="Low","Later","Set category")))))</f>
        <v/>
      </c>
    </row>
    <row r="146" ht="20" customHeight="1">
      <c r="B146" s="65" t="n"/>
      <c r="C146" s="66" t="n"/>
      <c r="D146" s="66" t="n"/>
      <c r="E146" s="66" t="n"/>
      <c r="F146" s="66" t="n"/>
      <c r="G146" s="66" t="n"/>
      <c r="H146" s="66" t="n"/>
      <c r="I146" s="66" t="n"/>
      <c r="J146" s="66" t="n"/>
      <c r="K146" s="66" t="n"/>
      <c r="L146" s="66" t="n"/>
      <c r="M146" s="66" t="n"/>
      <c r="N146" s="67">
        <f>IF(B146="","",(D146="Yes")+(E146="No")+(F146="No")+(G146="Weak")+(H146="No")+(I146="No")+(J146="No")+(K146="No")+(L146="No")+(M146="No"))</f>
        <v/>
      </c>
      <c r="O146" s="68">
        <f>IF(B146="","",IF(N146=0,"Done",IF(C146="High","Fix first",IF(C146="Moderate","Fix next",IF(C146="Low","Later","Set category")))))</f>
        <v/>
      </c>
    </row>
    <row r="147" ht="20" customHeight="1">
      <c r="B147" s="65" t="n"/>
      <c r="C147" s="66" t="n"/>
      <c r="D147" s="66" t="n"/>
      <c r="E147" s="66" t="n"/>
      <c r="F147" s="66" t="n"/>
      <c r="G147" s="66" t="n"/>
      <c r="H147" s="66" t="n"/>
      <c r="I147" s="66" t="n"/>
      <c r="J147" s="66" t="n"/>
      <c r="K147" s="66" t="n"/>
      <c r="L147" s="66" t="n"/>
      <c r="M147" s="66" t="n"/>
      <c r="N147" s="67">
        <f>IF(B147="","",(D147="Yes")+(E147="No")+(F147="No")+(G147="Weak")+(H147="No")+(I147="No")+(J147="No")+(K147="No")+(L147="No")+(M147="No"))</f>
        <v/>
      </c>
      <c r="O147" s="68">
        <f>IF(B147="","",IF(N147=0,"Done",IF(C147="High","Fix first",IF(C147="Moderate","Fix next",IF(C147="Low","Later","Set category")))))</f>
        <v/>
      </c>
    </row>
    <row r="148" ht="20" customHeight="1">
      <c r="B148" s="65" t="n"/>
      <c r="C148" s="66" t="n"/>
      <c r="D148" s="66" t="n"/>
      <c r="E148" s="66" t="n"/>
      <c r="F148" s="66" t="n"/>
      <c r="G148" s="66" t="n"/>
      <c r="H148" s="66" t="n"/>
      <c r="I148" s="66" t="n"/>
      <c r="J148" s="66" t="n"/>
      <c r="K148" s="66" t="n"/>
      <c r="L148" s="66" t="n"/>
      <c r="M148" s="66" t="n"/>
      <c r="N148" s="67">
        <f>IF(B148="","",(D148="Yes")+(E148="No")+(F148="No")+(G148="Weak")+(H148="No")+(I148="No")+(J148="No")+(K148="No")+(L148="No")+(M148="No"))</f>
        <v/>
      </c>
      <c r="O148" s="68">
        <f>IF(B148="","",IF(N148=0,"Done",IF(C148="High","Fix first",IF(C148="Moderate","Fix next",IF(C148="Low","Later","Set category")))))</f>
        <v/>
      </c>
    </row>
    <row r="149" ht="20" customHeight="1">
      <c r="B149" s="65" t="n"/>
      <c r="C149" s="66" t="n"/>
      <c r="D149" s="66" t="n"/>
      <c r="E149" s="66" t="n"/>
      <c r="F149" s="66" t="n"/>
      <c r="G149" s="66" t="n"/>
      <c r="H149" s="66" t="n"/>
      <c r="I149" s="66" t="n"/>
      <c r="J149" s="66" t="n"/>
      <c r="K149" s="66" t="n"/>
      <c r="L149" s="66" t="n"/>
      <c r="M149" s="66" t="n"/>
      <c r="N149" s="67">
        <f>IF(B149="","",(D149="Yes")+(E149="No")+(F149="No")+(G149="Weak")+(H149="No")+(I149="No")+(J149="No")+(K149="No")+(L149="No")+(M149="No"))</f>
        <v/>
      </c>
      <c r="O149" s="68">
        <f>IF(B149="","",IF(N149=0,"Done",IF(C149="High","Fix first",IF(C149="Moderate","Fix next",IF(C149="Low","Later","Set category")))))</f>
        <v/>
      </c>
    </row>
    <row r="150" ht="20" customHeight="1">
      <c r="B150" s="65" t="n"/>
      <c r="C150" s="66" t="n"/>
      <c r="D150" s="66" t="n"/>
      <c r="E150" s="66" t="n"/>
      <c r="F150" s="66" t="n"/>
      <c r="G150" s="66" t="n"/>
      <c r="H150" s="66" t="n"/>
      <c r="I150" s="66" t="n"/>
      <c r="J150" s="66" t="n"/>
      <c r="K150" s="66" t="n"/>
      <c r="L150" s="66" t="n"/>
      <c r="M150" s="66" t="n"/>
      <c r="N150" s="67">
        <f>IF(B150="","",(D150="Yes")+(E150="No")+(F150="No")+(G150="Weak")+(H150="No")+(I150="No")+(J150="No")+(K150="No")+(L150="No")+(M150="No"))</f>
        <v/>
      </c>
      <c r="O150" s="68">
        <f>IF(B150="","",IF(N150=0,"Done",IF(C150="High","Fix first",IF(C150="Moderate","Fix next",IF(C150="Low","Later","Set category")))))</f>
        <v/>
      </c>
    </row>
    <row r="151" ht="20" customHeight="1">
      <c r="B151" s="65" t="n"/>
      <c r="C151" s="66" t="n"/>
      <c r="D151" s="66" t="n"/>
      <c r="E151" s="66" t="n"/>
      <c r="F151" s="66" t="n"/>
      <c r="G151" s="66" t="n"/>
      <c r="H151" s="66" t="n"/>
      <c r="I151" s="66" t="n"/>
      <c r="J151" s="66" t="n"/>
      <c r="K151" s="66" t="n"/>
      <c r="L151" s="66" t="n"/>
      <c r="M151" s="66" t="n"/>
      <c r="N151" s="67">
        <f>IF(B151="","",(D151="Yes")+(E151="No")+(F151="No")+(G151="Weak")+(H151="No")+(I151="No")+(J151="No")+(K151="No")+(L151="No")+(M151="No"))</f>
        <v/>
      </c>
      <c r="O151" s="68">
        <f>IF(B151="","",IF(N151=0,"Done",IF(C151="High","Fix first",IF(C151="Moderate","Fix next",IF(C151="Low","Later","Set category")))))</f>
        <v/>
      </c>
    </row>
    <row r="152" ht="20" customHeight="1">
      <c r="B152" s="65" t="n"/>
      <c r="C152" s="66" t="n"/>
      <c r="D152" s="66" t="n"/>
      <c r="E152" s="66" t="n"/>
      <c r="F152" s="66" t="n"/>
      <c r="G152" s="66" t="n"/>
      <c r="H152" s="66" t="n"/>
      <c r="I152" s="66" t="n"/>
      <c r="J152" s="66" t="n"/>
      <c r="K152" s="66" t="n"/>
      <c r="L152" s="66" t="n"/>
      <c r="M152" s="66" t="n"/>
      <c r="N152" s="67">
        <f>IF(B152="","",(D152="Yes")+(E152="No")+(F152="No")+(G152="Weak")+(H152="No")+(I152="No")+(J152="No")+(K152="No")+(L152="No")+(M152="No"))</f>
        <v/>
      </c>
      <c r="O152" s="68">
        <f>IF(B152="","",IF(N152=0,"Done",IF(C152="High","Fix first",IF(C152="Moderate","Fix next",IF(C152="Low","Later","Set category")))))</f>
        <v/>
      </c>
    </row>
    <row r="153" ht="20" customHeight="1">
      <c r="B153" s="65" t="n"/>
      <c r="C153" s="66" t="n"/>
      <c r="D153" s="66" t="n"/>
      <c r="E153" s="66" t="n"/>
      <c r="F153" s="66" t="n"/>
      <c r="G153" s="66" t="n"/>
      <c r="H153" s="66" t="n"/>
      <c r="I153" s="66" t="n"/>
      <c r="J153" s="66" t="n"/>
      <c r="K153" s="66" t="n"/>
      <c r="L153" s="66" t="n"/>
      <c r="M153" s="66" t="n"/>
      <c r="N153" s="67">
        <f>IF(B153="","",(D153="Yes")+(E153="No")+(F153="No")+(G153="Weak")+(H153="No")+(I153="No")+(J153="No")+(K153="No")+(L153="No")+(M153="No"))</f>
        <v/>
      </c>
      <c r="O153" s="68">
        <f>IF(B153="","",IF(N153=0,"Done",IF(C153="High","Fix first",IF(C153="Moderate","Fix next",IF(C153="Low","Later","Set category")))))</f>
        <v/>
      </c>
    </row>
    <row r="154" ht="20" customHeight="1">
      <c r="B154" s="65" t="n"/>
      <c r="C154" s="66" t="n"/>
      <c r="D154" s="66" t="n"/>
      <c r="E154" s="66" t="n"/>
      <c r="F154" s="66" t="n"/>
      <c r="G154" s="66" t="n"/>
      <c r="H154" s="66" t="n"/>
      <c r="I154" s="66" t="n"/>
      <c r="J154" s="66" t="n"/>
      <c r="K154" s="66" t="n"/>
      <c r="L154" s="66" t="n"/>
      <c r="M154" s="66" t="n"/>
      <c r="N154" s="67">
        <f>IF(B154="","",(D154="Yes")+(E154="No")+(F154="No")+(G154="Weak")+(H154="No")+(I154="No")+(J154="No")+(K154="No")+(L154="No")+(M154="No"))</f>
        <v/>
      </c>
      <c r="O154" s="68">
        <f>IF(B154="","",IF(N154=0,"Done",IF(C154="High","Fix first",IF(C154="Moderate","Fix next",IF(C154="Low","Later","Set category")))))</f>
        <v/>
      </c>
    </row>
    <row r="155" ht="20" customHeight="1">
      <c r="B155" s="65" t="n"/>
      <c r="C155" s="66" t="n"/>
      <c r="D155" s="66" t="n"/>
      <c r="E155" s="66" t="n"/>
      <c r="F155" s="66" t="n"/>
      <c r="G155" s="66" t="n"/>
      <c r="H155" s="66" t="n"/>
      <c r="I155" s="66" t="n"/>
      <c r="J155" s="66" t="n"/>
      <c r="K155" s="66" t="n"/>
      <c r="L155" s="66" t="n"/>
      <c r="M155" s="66" t="n"/>
      <c r="N155" s="67">
        <f>IF(B155="","",(D155="Yes")+(E155="No")+(F155="No")+(G155="Weak")+(H155="No")+(I155="No")+(J155="No")+(K155="No")+(L155="No")+(M155="No"))</f>
        <v/>
      </c>
      <c r="O155" s="68">
        <f>IF(B155="","",IF(N155=0,"Done",IF(C155="High","Fix first",IF(C155="Moderate","Fix next",IF(C155="Low","Later","Set category")))))</f>
        <v/>
      </c>
    </row>
    <row r="156" ht="20" customHeight="1">
      <c r="B156" s="65" t="n"/>
      <c r="C156" s="66" t="n"/>
      <c r="D156" s="66" t="n"/>
      <c r="E156" s="66" t="n"/>
      <c r="F156" s="66" t="n"/>
      <c r="G156" s="66" t="n"/>
      <c r="H156" s="66" t="n"/>
      <c r="I156" s="66" t="n"/>
      <c r="J156" s="66" t="n"/>
      <c r="K156" s="66" t="n"/>
      <c r="L156" s="66" t="n"/>
      <c r="M156" s="66" t="n"/>
      <c r="N156" s="67">
        <f>IF(B156="","",(D156="Yes")+(E156="No")+(F156="No")+(G156="Weak")+(H156="No")+(I156="No")+(J156="No")+(K156="No")+(L156="No")+(M156="No"))</f>
        <v/>
      </c>
      <c r="O156" s="68">
        <f>IF(B156="","",IF(N156=0,"Done",IF(C156="High","Fix first",IF(C156="Moderate","Fix next",IF(C156="Low","Later","Set category")))))</f>
        <v/>
      </c>
    </row>
    <row r="157" ht="20" customHeight="1">
      <c r="B157" s="65" t="n"/>
      <c r="C157" s="66" t="n"/>
      <c r="D157" s="66" t="n"/>
      <c r="E157" s="66" t="n"/>
      <c r="F157" s="66" t="n"/>
      <c r="G157" s="66" t="n"/>
      <c r="H157" s="66" t="n"/>
      <c r="I157" s="66" t="n"/>
      <c r="J157" s="66" t="n"/>
      <c r="K157" s="66" t="n"/>
      <c r="L157" s="66" t="n"/>
      <c r="M157" s="66" t="n"/>
      <c r="N157" s="67">
        <f>IF(B157="","",(D157="Yes")+(E157="No")+(F157="No")+(G157="Weak")+(H157="No")+(I157="No")+(J157="No")+(K157="No")+(L157="No")+(M157="No"))</f>
        <v/>
      </c>
      <c r="O157" s="68">
        <f>IF(B157="","",IF(N157=0,"Done",IF(C157="High","Fix first",IF(C157="Moderate","Fix next",IF(C157="Low","Later","Set category")))))</f>
        <v/>
      </c>
    </row>
    <row r="158" ht="20" customHeight="1">
      <c r="B158" s="65" t="n"/>
      <c r="C158" s="66" t="n"/>
      <c r="D158" s="66" t="n"/>
      <c r="E158" s="66" t="n"/>
      <c r="F158" s="66" t="n"/>
      <c r="G158" s="66" t="n"/>
      <c r="H158" s="66" t="n"/>
      <c r="I158" s="66" t="n"/>
      <c r="J158" s="66" t="n"/>
      <c r="K158" s="66" t="n"/>
      <c r="L158" s="66" t="n"/>
      <c r="M158" s="66" t="n"/>
      <c r="N158" s="67">
        <f>IF(B158="","",(D158="Yes")+(E158="No")+(F158="No")+(G158="Weak")+(H158="No")+(I158="No")+(J158="No")+(K158="No")+(L158="No")+(M158="No"))</f>
        <v/>
      </c>
      <c r="O158" s="68">
        <f>IF(B158="","",IF(N158=0,"Done",IF(C158="High","Fix first",IF(C158="Moderate","Fix next",IF(C158="Low","Later","Set category")))))</f>
        <v/>
      </c>
    </row>
    <row r="159" ht="20" customHeight="1">
      <c r="B159" s="65" t="n"/>
      <c r="C159" s="66" t="n"/>
      <c r="D159" s="66" t="n"/>
      <c r="E159" s="66" t="n"/>
      <c r="F159" s="66" t="n"/>
      <c r="G159" s="66" t="n"/>
      <c r="H159" s="66" t="n"/>
      <c r="I159" s="66" t="n"/>
      <c r="J159" s="66" t="n"/>
      <c r="K159" s="66" t="n"/>
      <c r="L159" s="66" t="n"/>
      <c r="M159" s="66" t="n"/>
      <c r="N159" s="67">
        <f>IF(B159="","",(D159="Yes")+(E159="No")+(F159="No")+(G159="Weak")+(H159="No")+(I159="No")+(J159="No")+(K159="No")+(L159="No")+(M159="No"))</f>
        <v/>
      </c>
      <c r="O159" s="68">
        <f>IF(B159="","",IF(N159=0,"Done",IF(C159="High","Fix first",IF(C159="Moderate","Fix next",IF(C159="Low","Later","Set category")))))</f>
        <v/>
      </c>
    </row>
    <row r="160" ht="20" customHeight="1">
      <c r="B160" s="65" t="n"/>
      <c r="C160" s="66" t="n"/>
      <c r="D160" s="66" t="n"/>
      <c r="E160" s="66" t="n"/>
      <c r="F160" s="66" t="n"/>
      <c r="G160" s="66" t="n"/>
      <c r="H160" s="66" t="n"/>
      <c r="I160" s="66" t="n"/>
      <c r="J160" s="66" t="n"/>
      <c r="K160" s="66" t="n"/>
      <c r="L160" s="66" t="n"/>
      <c r="M160" s="66" t="n"/>
      <c r="N160" s="67">
        <f>IF(B160="","",(D160="Yes")+(E160="No")+(F160="No")+(G160="Weak")+(H160="No")+(I160="No")+(J160="No")+(K160="No")+(L160="No")+(M160="No"))</f>
        <v/>
      </c>
      <c r="O160" s="68">
        <f>IF(B160="","",IF(N160=0,"Done",IF(C160="High","Fix first",IF(C160="Moderate","Fix next",IF(C160="Low","Later","Set category")))))</f>
        <v/>
      </c>
    </row>
    <row r="161" ht="20" customHeight="1">
      <c r="B161" s="65" t="n"/>
      <c r="C161" s="66" t="n"/>
      <c r="D161" s="66" t="n"/>
      <c r="E161" s="66" t="n"/>
      <c r="F161" s="66" t="n"/>
      <c r="G161" s="66" t="n"/>
      <c r="H161" s="66" t="n"/>
      <c r="I161" s="66" t="n"/>
      <c r="J161" s="66" t="n"/>
      <c r="K161" s="66" t="n"/>
      <c r="L161" s="66" t="n"/>
      <c r="M161" s="66" t="n"/>
      <c r="N161" s="67">
        <f>IF(B161="","",(D161="Yes")+(E161="No")+(F161="No")+(G161="Weak")+(H161="No")+(I161="No")+(J161="No")+(K161="No")+(L161="No")+(M161="No"))</f>
        <v/>
      </c>
      <c r="O161" s="68">
        <f>IF(B161="","",IF(N161=0,"Done",IF(C161="High","Fix first",IF(C161="Moderate","Fix next",IF(C161="Low","Later","Set category")))))</f>
        <v/>
      </c>
    </row>
    <row r="162" ht="20" customHeight="1">
      <c r="B162" s="65" t="n"/>
      <c r="C162" s="66" t="n"/>
      <c r="D162" s="66" t="n"/>
      <c r="E162" s="66" t="n"/>
      <c r="F162" s="66" t="n"/>
      <c r="G162" s="66" t="n"/>
      <c r="H162" s="66" t="n"/>
      <c r="I162" s="66" t="n"/>
      <c r="J162" s="66" t="n"/>
      <c r="K162" s="66" t="n"/>
      <c r="L162" s="66" t="n"/>
      <c r="M162" s="66" t="n"/>
      <c r="N162" s="67">
        <f>IF(B162="","",(D162="Yes")+(E162="No")+(F162="No")+(G162="Weak")+(H162="No")+(I162="No")+(J162="No")+(K162="No")+(L162="No")+(M162="No"))</f>
        <v/>
      </c>
      <c r="O162" s="68">
        <f>IF(B162="","",IF(N162=0,"Done",IF(C162="High","Fix first",IF(C162="Moderate","Fix next",IF(C162="Low","Later","Set category")))))</f>
        <v/>
      </c>
    </row>
    <row r="163" ht="20" customHeight="1">
      <c r="B163" s="65" t="n"/>
      <c r="C163" s="66" t="n"/>
      <c r="D163" s="66" t="n"/>
      <c r="E163" s="66" t="n"/>
      <c r="F163" s="66" t="n"/>
      <c r="G163" s="66" t="n"/>
      <c r="H163" s="66" t="n"/>
      <c r="I163" s="66" t="n"/>
      <c r="J163" s="66" t="n"/>
      <c r="K163" s="66" t="n"/>
      <c r="L163" s="66" t="n"/>
      <c r="M163" s="66" t="n"/>
      <c r="N163" s="67">
        <f>IF(B163="","",(D163="Yes")+(E163="No")+(F163="No")+(G163="Weak")+(H163="No")+(I163="No")+(J163="No")+(K163="No")+(L163="No")+(M163="No"))</f>
        <v/>
      </c>
      <c r="O163" s="68">
        <f>IF(B163="","",IF(N163=0,"Done",IF(C163="High","Fix first",IF(C163="Moderate","Fix next",IF(C163="Low","Later","Set category")))))</f>
        <v/>
      </c>
    </row>
    <row r="164" ht="20" customHeight="1">
      <c r="B164" s="65" t="n"/>
      <c r="C164" s="66" t="n"/>
      <c r="D164" s="66" t="n"/>
      <c r="E164" s="66" t="n"/>
      <c r="F164" s="66" t="n"/>
      <c r="G164" s="66" t="n"/>
      <c r="H164" s="66" t="n"/>
      <c r="I164" s="66" t="n"/>
      <c r="J164" s="66" t="n"/>
      <c r="K164" s="66" t="n"/>
      <c r="L164" s="66" t="n"/>
      <c r="M164" s="66" t="n"/>
      <c r="N164" s="67">
        <f>IF(B164="","",(D164="Yes")+(E164="No")+(F164="No")+(G164="Weak")+(H164="No")+(I164="No")+(J164="No")+(K164="No")+(L164="No")+(M164="No"))</f>
        <v/>
      </c>
      <c r="O164" s="68">
        <f>IF(B164="","",IF(N164=0,"Done",IF(C164="High","Fix first",IF(C164="Moderate","Fix next",IF(C164="Low","Later","Set category")))))</f>
        <v/>
      </c>
    </row>
    <row r="165" ht="20" customHeight="1">
      <c r="B165" s="65" t="n"/>
      <c r="C165" s="66" t="n"/>
      <c r="D165" s="66" t="n"/>
      <c r="E165" s="66" t="n"/>
      <c r="F165" s="66" t="n"/>
      <c r="G165" s="66" t="n"/>
      <c r="H165" s="66" t="n"/>
      <c r="I165" s="66" t="n"/>
      <c r="J165" s="66" t="n"/>
      <c r="K165" s="66" t="n"/>
      <c r="L165" s="66" t="n"/>
      <c r="M165" s="66" t="n"/>
      <c r="N165" s="67">
        <f>IF(B165="","",(D165="Yes")+(E165="No")+(F165="No")+(G165="Weak")+(H165="No")+(I165="No")+(J165="No")+(K165="No")+(L165="No")+(M165="No"))</f>
        <v/>
      </c>
      <c r="O165" s="68">
        <f>IF(B165="","",IF(N165=0,"Done",IF(C165="High","Fix first",IF(C165="Moderate","Fix next",IF(C165="Low","Later","Set category")))))</f>
        <v/>
      </c>
    </row>
    <row r="166" ht="20" customHeight="1">
      <c r="B166" s="65" t="n"/>
      <c r="C166" s="66" t="n"/>
      <c r="D166" s="66" t="n"/>
      <c r="E166" s="66" t="n"/>
      <c r="F166" s="66" t="n"/>
      <c r="G166" s="66" t="n"/>
      <c r="H166" s="66" t="n"/>
      <c r="I166" s="66" t="n"/>
      <c r="J166" s="66" t="n"/>
      <c r="K166" s="66" t="n"/>
      <c r="L166" s="66" t="n"/>
      <c r="M166" s="66" t="n"/>
      <c r="N166" s="67">
        <f>IF(B166="","",(D166="Yes")+(E166="No")+(F166="No")+(G166="Weak")+(H166="No")+(I166="No")+(J166="No")+(K166="No")+(L166="No")+(M166="No"))</f>
        <v/>
      </c>
      <c r="O166" s="68">
        <f>IF(B166="","",IF(N166=0,"Done",IF(C166="High","Fix first",IF(C166="Moderate","Fix next",IF(C166="Low","Later","Set category")))))</f>
        <v/>
      </c>
    </row>
    <row r="167" ht="20" customHeight="1">
      <c r="B167" s="65" t="n"/>
      <c r="C167" s="66" t="n"/>
      <c r="D167" s="66" t="n"/>
      <c r="E167" s="66" t="n"/>
      <c r="F167" s="66" t="n"/>
      <c r="G167" s="66" t="n"/>
      <c r="H167" s="66" t="n"/>
      <c r="I167" s="66" t="n"/>
      <c r="J167" s="66" t="n"/>
      <c r="K167" s="66" t="n"/>
      <c r="L167" s="66" t="n"/>
      <c r="M167" s="66" t="n"/>
      <c r="N167" s="67">
        <f>IF(B167="","",(D167="Yes")+(E167="No")+(F167="No")+(G167="Weak")+(H167="No")+(I167="No")+(J167="No")+(K167="No")+(L167="No")+(M167="No"))</f>
        <v/>
      </c>
      <c r="O167" s="68">
        <f>IF(B167="","",IF(N167=0,"Done",IF(C167="High","Fix first",IF(C167="Moderate","Fix next",IF(C167="Low","Later","Set category")))))</f>
        <v/>
      </c>
    </row>
    <row r="168" ht="20" customHeight="1">
      <c r="B168" s="65" t="n"/>
      <c r="C168" s="66" t="n"/>
      <c r="D168" s="66" t="n"/>
      <c r="E168" s="66" t="n"/>
      <c r="F168" s="66" t="n"/>
      <c r="G168" s="66" t="n"/>
      <c r="H168" s="66" t="n"/>
      <c r="I168" s="66" t="n"/>
      <c r="J168" s="66" t="n"/>
      <c r="K168" s="66" t="n"/>
      <c r="L168" s="66" t="n"/>
      <c r="M168" s="66" t="n"/>
      <c r="N168" s="67">
        <f>IF(B168="","",(D168="Yes")+(E168="No")+(F168="No")+(G168="Weak")+(H168="No")+(I168="No")+(J168="No")+(K168="No")+(L168="No")+(M168="No"))</f>
        <v/>
      </c>
      <c r="O168" s="68">
        <f>IF(B168="","",IF(N168=0,"Done",IF(C168="High","Fix first",IF(C168="Moderate","Fix next",IF(C168="Low","Later","Set category")))))</f>
        <v/>
      </c>
    </row>
    <row r="169" ht="20" customHeight="1">
      <c r="B169" s="65" t="n"/>
      <c r="C169" s="66" t="n"/>
      <c r="D169" s="66" t="n"/>
      <c r="E169" s="66" t="n"/>
      <c r="F169" s="66" t="n"/>
      <c r="G169" s="66" t="n"/>
      <c r="H169" s="66" t="n"/>
      <c r="I169" s="66" t="n"/>
      <c r="J169" s="66" t="n"/>
      <c r="K169" s="66" t="n"/>
      <c r="L169" s="66" t="n"/>
      <c r="M169" s="66" t="n"/>
      <c r="N169" s="67">
        <f>IF(B169="","",(D169="Yes")+(E169="No")+(F169="No")+(G169="Weak")+(H169="No")+(I169="No")+(J169="No")+(K169="No")+(L169="No")+(M169="No"))</f>
        <v/>
      </c>
      <c r="O169" s="68">
        <f>IF(B169="","",IF(N169=0,"Done",IF(C169="High","Fix first",IF(C169="Moderate","Fix next",IF(C169="Low","Later","Set category")))))</f>
        <v/>
      </c>
    </row>
    <row r="170" ht="20" customHeight="1">
      <c r="B170" s="65" t="n"/>
      <c r="C170" s="66" t="n"/>
      <c r="D170" s="66" t="n"/>
      <c r="E170" s="66" t="n"/>
      <c r="F170" s="66" t="n"/>
      <c r="G170" s="66" t="n"/>
      <c r="H170" s="66" t="n"/>
      <c r="I170" s="66" t="n"/>
      <c r="J170" s="66" t="n"/>
      <c r="K170" s="66" t="n"/>
      <c r="L170" s="66" t="n"/>
      <c r="M170" s="66" t="n"/>
      <c r="N170" s="67">
        <f>IF(B170="","",(D170="Yes")+(E170="No")+(F170="No")+(G170="Weak")+(H170="No")+(I170="No")+(J170="No")+(K170="No")+(L170="No")+(M170="No"))</f>
        <v/>
      </c>
      <c r="O170" s="68">
        <f>IF(B170="","",IF(N170=0,"Done",IF(C170="High","Fix first",IF(C170="Moderate","Fix next",IF(C170="Low","Later","Set category")))))</f>
        <v/>
      </c>
    </row>
    <row r="171" ht="20" customHeight="1">
      <c r="B171" s="65" t="n"/>
      <c r="C171" s="66" t="n"/>
      <c r="D171" s="66" t="n"/>
      <c r="E171" s="66" t="n"/>
      <c r="F171" s="66" t="n"/>
      <c r="G171" s="66" t="n"/>
      <c r="H171" s="66" t="n"/>
      <c r="I171" s="66" t="n"/>
      <c r="J171" s="66" t="n"/>
      <c r="K171" s="66" t="n"/>
      <c r="L171" s="66" t="n"/>
      <c r="M171" s="66" t="n"/>
      <c r="N171" s="67">
        <f>IF(B171="","",(D171="Yes")+(E171="No")+(F171="No")+(G171="Weak")+(H171="No")+(I171="No")+(J171="No")+(K171="No")+(L171="No")+(M171="No"))</f>
        <v/>
      </c>
      <c r="O171" s="68">
        <f>IF(B171="","",IF(N171=0,"Done",IF(C171="High","Fix first",IF(C171="Moderate","Fix next",IF(C171="Low","Later","Set category")))))</f>
        <v/>
      </c>
    </row>
    <row r="172" ht="20" customHeight="1">
      <c r="B172" s="65" t="n"/>
      <c r="C172" s="66" t="n"/>
      <c r="D172" s="66" t="n"/>
      <c r="E172" s="66" t="n"/>
      <c r="F172" s="66" t="n"/>
      <c r="G172" s="66" t="n"/>
      <c r="H172" s="66" t="n"/>
      <c r="I172" s="66" t="n"/>
      <c r="J172" s="66" t="n"/>
      <c r="K172" s="66" t="n"/>
      <c r="L172" s="66" t="n"/>
      <c r="M172" s="66" t="n"/>
      <c r="N172" s="67">
        <f>IF(B172="","",(D172="Yes")+(E172="No")+(F172="No")+(G172="Weak")+(H172="No")+(I172="No")+(J172="No")+(K172="No")+(L172="No")+(M172="No"))</f>
        <v/>
      </c>
      <c r="O172" s="68">
        <f>IF(B172="","",IF(N172=0,"Done",IF(C172="High","Fix first",IF(C172="Moderate","Fix next",IF(C172="Low","Later","Set category")))))</f>
        <v/>
      </c>
    </row>
    <row r="173" ht="20" customHeight="1">
      <c r="B173" s="65" t="n"/>
      <c r="C173" s="66" t="n"/>
      <c r="D173" s="66" t="n"/>
      <c r="E173" s="66" t="n"/>
      <c r="F173" s="66" t="n"/>
      <c r="G173" s="66" t="n"/>
      <c r="H173" s="66" t="n"/>
      <c r="I173" s="66" t="n"/>
      <c r="J173" s="66" t="n"/>
      <c r="K173" s="66" t="n"/>
      <c r="L173" s="66" t="n"/>
      <c r="M173" s="66" t="n"/>
      <c r="N173" s="67">
        <f>IF(B173="","",(D173="Yes")+(E173="No")+(F173="No")+(G173="Weak")+(H173="No")+(I173="No")+(J173="No")+(K173="No")+(L173="No")+(M173="No"))</f>
        <v/>
      </c>
      <c r="O173" s="68">
        <f>IF(B173="","",IF(N173=0,"Done",IF(C173="High","Fix first",IF(C173="Moderate","Fix next",IF(C173="Low","Later","Set category")))))</f>
        <v/>
      </c>
    </row>
    <row r="174" ht="20" customHeight="1">
      <c r="B174" s="65" t="n"/>
      <c r="C174" s="66" t="n"/>
      <c r="D174" s="66" t="n"/>
      <c r="E174" s="66" t="n"/>
      <c r="F174" s="66" t="n"/>
      <c r="G174" s="66" t="n"/>
      <c r="H174" s="66" t="n"/>
      <c r="I174" s="66" t="n"/>
      <c r="J174" s="66" t="n"/>
      <c r="K174" s="66" t="n"/>
      <c r="L174" s="66" t="n"/>
      <c r="M174" s="66" t="n"/>
      <c r="N174" s="67">
        <f>IF(B174="","",(D174="Yes")+(E174="No")+(F174="No")+(G174="Weak")+(H174="No")+(I174="No")+(J174="No")+(K174="No")+(L174="No")+(M174="No"))</f>
        <v/>
      </c>
      <c r="O174" s="68">
        <f>IF(B174="","",IF(N174=0,"Done",IF(C174="High","Fix first",IF(C174="Moderate","Fix next",IF(C174="Low","Later","Set category")))))</f>
        <v/>
      </c>
    </row>
    <row r="175" ht="20" customHeight="1">
      <c r="B175" s="65" t="n"/>
      <c r="C175" s="66" t="n"/>
      <c r="D175" s="66" t="n"/>
      <c r="E175" s="66" t="n"/>
      <c r="F175" s="66" t="n"/>
      <c r="G175" s="66" t="n"/>
      <c r="H175" s="66" t="n"/>
      <c r="I175" s="66" t="n"/>
      <c r="J175" s="66" t="n"/>
      <c r="K175" s="66" t="n"/>
      <c r="L175" s="66" t="n"/>
      <c r="M175" s="66" t="n"/>
      <c r="N175" s="67">
        <f>IF(B175="","",(D175="Yes")+(E175="No")+(F175="No")+(G175="Weak")+(H175="No")+(I175="No")+(J175="No")+(K175="No")+(L175="No")+(M175="No"))</f>
        <v/>
      </c>
      <c r="O175" s="68">
        <f>IF(B175="","",IF(N175=0,"Done",IF(C175="High","Fix first",IF(C175="Moderate","Fix next",IF(C175="Low","Later","Set category")))))</f>
        <v/>
      </c>
    </row>
    <row r="176" ht="20" customHeight="1">
      <c r="B176" s="65" t="n"/>
      <c r="C176" s="66" t="n"/>
      <c r="D176" s="66" t="n"/>
      <c r="E176" s="66" t="n"/>
      <c r="F176" s="66" t="n"/>
      <c r="G176" s="66" t="n"/>
      <c r="H176" s="66" t="n"/>
      <c r="I176" s="66" t="n"/>
      <c r="J176" s="66" t="n"/>
      <c r="K176" s="66" t="n"/>
      <c r="L176" s="66" t="n"/>
      <c r="M176" s="66" t="n"/>
      <c r="N176" s="67">
        <f>IF(B176="","",(D176="Yes")+(E176="No")+(F176="No")+(G176="Weak")+(H176="No")+(I176="No")+(J176="No")+(K176="No")+(L176="No")+(M176="No"))</f>
        <v/>
      </c>
      <c r="O176" s="68">
        <f>IF(B176="","",IF(N176=0,"Done",IF(C176="High","Fix first",IF(C176="Moderate","Fix next",IF(C176="Low","Later","Set category")))))</f>
        <v/>
      </c>
    </row>
    <row r="177" ht="20" customHeight="1">
      <c r="B177" s="65" t="n"/>
      <c r="C177" s="66" t="n"/>
      <c r="D177" s="66" t="n"/>
      <c r="E177" s="66" t="n"/>
      <c r="F177" s="66" t="n"/>
      <c r="G177" s="66" t="n"/>
      <c r="H177" s="66" t="n"/>
      <c r="I177" s="66" t="n"/>
      <c r="J177" s="66" t="n"/>
      <c r="K177" s="66" t="n"/>
      <c r="L177" s="66" t="n"/>
      <c r="M177" s="66" t="n"/>
      <c r="N177" s="67">
        <f>IF(B177="","",(D177="Yes")+(E177="No")+(F177="No")+(G177="Weak")+(H177="No")+(I177="No")+(J177="No")+(K177="No")+(L177="No")+(M177="No"))</f>
        <v/>
      </c>
      <c r="O177" s="68">
        <f>IF(B177="","",IF(N177=0,"Done",IF(C177="High","Fix first",IF(C177="Moderate","Fix next",IF(C177="Low","Later","Set category")))))</f>
        <v/>
      </c>
    </row>
    <row r="178" ht="20" customHeight="1">
      <c r="B178" s="65" t="n"/>
      <c r="C178" s="66" t="n"/>
      <c r="D178" s="66" t="n"/>
      <c r="E178" s="66" t="n"/>
      <c r="F178" s="66" t="n"/>
      <c r="G178" s="66" t="n"/>
      <c r="H178" s="66" t="n"/>
      <c r="I178" s="66" t="n"/>
      <c r="J178" s="66" t="n"/>
      <c r="K178" s="66" t="n"/>
      <c r="L178" s="66" t="n"/>
      <c r="M178" s="66" t="n"/>
      <c r="N178" s="67">
        <f>IF(B178="","",(D178="Yes")+(E178="No")+(F178="No")+(G178="Weak")+(H178="No")+(I178="No")+(J178="No")+(K178="No")+(L178="No")+(M178="No"))</f>
        <v/>
      </c>
      <c r="O178" s="68">
        <f>IF(B178="","",IF(N178=0,"Done",IF(C178="High","Fix first",IF(C178="Moderate","Fix next",IF(C178="Low","Later","Set category")))))</f>
        <v/>
      </c>
    </row>
    <row r="179" ht="20" customHeight="1">
      <c r="B179" s="65" t="n"/>
      <c r="C179" s="66" t="n"/>
      <c r="D179" s="66" t="n"/>
      <c r="E179" s="66" t="n"/>
      <c r="F179" s="66" t="n"/>
      <c r="G179" s="66" t="n"/>
      <c r="H179" s="66" t="n"/>
      <c r="I179" s="66" t="n"/>
      <c r="J179" s="66" t="n"/>
      <c r="K179" s="66" t="n"/>
      <c r="L179" s="66" t="n"/>
      <c r="M179" s="66" t="n"/>
      <c r="N179" s="67">
        <f>IF(B179="","",(D179="Yes")+(E179="No")+(F179="No")+(G179="Weak")+(H179="No")+(I179="No")+(J179="No")+(K179="No")+(L179="No")+(M179="No"))</f>
        <v/>
      </c>
      <c r="O179" s="68">
        <f>IF(B179="","",IF(N179=0,"Done",IF(C179="High","Fix first",IF(C179="Moderate","Fix next",IF(C179="Low","Later","Set category")))))</f>
        <v/>
      </c>
    </row>
    <row r="180" ht="20" customHeight="1">
      <c r="B180" s="65" t="n"/>
      <c r="C180" s="66" t="n"/>
      <c r="D180" s="66" t="n"/>
      <c r="E180" s="66" t="n"/>
      <c r="F180" s="66" t="n"/>
      <c r="G180" s="66" t="n"/>
      <c r="H180" s="66" t="n"/>
      <c r="I180" s="66" t="n"/>
      <c r="J180" s="66" t="n"/>
      <c r="K180" s="66" t="n"/>
      <c r="L180" s="66" t="n"/>
      <c r="M180" s="66" t="n"/>
      <c r="N180" s="67">
        <f>IF(B180="","",(D180="Yes")+(E180="No")+(F180="No")+(G180="Weak")+(H180="No")+(I180="No")+(J180="No")+(K180="No")+(L180="No")+(M180="No"))</f>
        <v/>
      </c>
      <c r="O180" s="68">
        <f>IF(B180="","",IF(N180=0,"Done",IF(C180="High","Fix first",IF(C180="Moderate","Fix next",IF(C180="Low","Later","Set category")))))</f>
        <v/>
      </c>
    </row>
    <row r="181" ht="20" customHeight="1">
      <c r="B181" s="65" t="n"/>
      <c r="C181" s="66" t="n"/>
      <c r="D181" s="66" t="n"/>
      <c r="E181" s="66" t="n"/>
      <c r="F181" s="66" t="n"/>
      <c r="G181" s="66" t="n"/>
      <c r="H181" s="66" t="n"/>
      <c r="I181" s="66" t="n"/>
      <c r="J181" s="66" t="n"/>
      <c r="K181" s="66" t="n"/>
      <c r="L181" s="66" t="n"/>
      <c r="M181" s="66" t="n"/>
      <c r="N181" s="67">
        <f>IF(B181="","",(D181="Yes")+(E181="No")+(F181="No")+(G181="Weak")+(H181="No")+(I181="No")+(J181="No")+(K181="No")+(L181="No")+(M181="No"))</f>
        <v/>
      </c>
      <c r="O181" s="68">
        <f>IF(B181="","",IF(N181=0,"Done",IF(C181="High","Fix first",IF(C181="Moderate","Fix next",IF(C181="Low","Later","Set category")))))</f>
        <v/>
      </c>
    </row>
    <row r="182" ht="20" customHeight="1">
      <c r="B182" s="65" t="n"/>
      <c r="C182" s="66" t="n"/>
      <c r="D182" s="66" t="n"/>
      <c r="E182" s="66" t="n"/>
      <c r="F182" s="66" t="n"/>
      <c r="G182" s="66" t="n"/>
      <c r="H182" s="66" t="n"/>
      <c r="I182" s="66" t="n"/>
      <c r="J182" s="66" t="n"/>
      <c r="K182" s="66" t="n"/>
      <c r="L182" s="66" t="n"/>
      <c r="M182" s="66" t="n"/>
      <c r="N182" s="67">
        <f>IF(B182="","",(D182="Yes")+(E182="No")+(F182="No")+(G182="Weak")+(H182="No")+(I182="No")+(J182="No")+(K182="No")+(L182="No")+(M182="No"))</f>
        <v/>
      </c>
      <c r="O182" s="68">
        <f>IF(B182="","",IF(N182=0,"Done",IF(C182="High","Fix first",IF(C182="Moderate","Fix next",IF(C182="Low","Later","Set category")))))</f>
        <v/>
      </c>
    </row>
    <row r="183" ht="20" customHeight="1">
      <c r="B183" s="65" t="n"/>
      <c r="C183" s="66" t="n"/>
      <c r="D183" s="66" t="n"/>
      <c r="E183" s="66" t="n"/>
      <c r="F183" s="66" t="n"/>
      <c r="G183" s="66" t="n"/>
      <c r="H183" s="66" t="n"/>
      <c r="I183" s="66" t="n"/>
      <c r="J183" s="66" t="n"/>
      <c r="K183" s="66" t="n"/>
      <c r="L183" s="66" t="n"/>
      <c r="M183" s="66" t="n"/>
      <c r="N183" s="67">
        <f>IF(B183="","",(D183="Yes")+(E183="No")+(F183="No")+(G183="Weak")+(H183="No")+(I183="No")+(J183="No")+(K183="No")+(L183="No")+(M183="No"))</f>
        <v/>
      </c>
      <c r="O183" s="68">
        <f>IF(B183="","",IF(N183=0,"Done",IF(C183="High","Fix first",IF(C183="Moderate","Fix next",IF(C183="Low","Later","Set category")))))</f>
        <v/>
      </c>
    </row>
    <row r="184" ht="20" customHeight="1">
      <c r="B184" s="65" t="n"/>
      <c r="C184" s="66" t="n"/>
      <c r="D184" s="66" t="n"/>
      <c r="E184" s="66" t="n"/>
      <c r="F184" s="66" t="n"/>
      <c r="G184" s="66" t="n"/>
      <c r="H184" s="66" t="n"/>
      <c r="I184" s="66" t="n"/>
      <c r="J184" s="66" t="n"/>
      <c r="K184" s="66" t="n"/>
      <c r="L184" s="66" t="n"/>
      <c r="M184" s="66" t="n"/>
      <c r="N184" s="67">
        <f>IF(B184="","",(D184="Yes")+(E184="No")+(F184="No")+(G184="Weak")+(H184="No")+(I184="No")+(J184="No")+(K184="No")+(L184="No")+(M184="No"))</f>
        <v/>
      </c>
      <c r="O184" s="68">
        <f>IF(B184="","",IF(N184=0,"Done",IF(C184="High","Fix first",IF(C184="Moderate","Fix next",IF(C184="Low","Later","Set category")))))</f>
        <v/>
      </c>
    </row>
    <row r="185" ht="20" customHeight="1">
      <c r="B185" s="65" t="n"/>
      <c r="C185" s="66" t="n"/>
      <c r="D185" s="66" t="n"/>
      <c r="E185" s="66" t="n"/>
      <c r="F185" s="66" t="n"/>
      <c r="G185" s="66" t="n"/>
      <c r="H185" s="66" t="n"/>
      <c r="I185" s="66" t="n"/>
      <c r="J185" s="66" t="n"/>
      <c r="K185" s="66" t="n"/>
      <c r="L185" s="66" t="n"/>
      <c r="M185" s="66" t="n"/>
      <c r="N185" s="67">
        <f>IF(B185="","",(D185="Yes")+(E185="No")+(F185="No")+(G185="Weak")+(H185="No")+(I185="No")+(J185="No")+(K185="No")+(L185="No")+(M185="No"))</f>
        <v/>
      </c>
      <c r="O185" s="68">
        <f>IF(B185="","",IF(N185=0,"Done",IF(C185="High","Fix first",IF(C185="Moderate","Fix next",IF(C185="Low","Later","Set category")))))</f>
        <v/>
      </c>
    </row>
    <row r="186" ht="20" customHeight="1">
      <c r="B186" s="65" t="n"/>
      <c r="C186" s="66" t="n"/>
      <c r="D186" s="66" t="n"/>
      <c r="E186" s="66" t="n"/>
      <c r="F186" s="66" t="n"/>
      <c r="G186" s="66" t="n"/>
      <c r="H186" s="66" t="n"/>
      <c r="I186" s="66" t="n"/>
      <c r="J186" s="66" t="n"/>
      <c r="K186" s="66" t="n"/>
      <c r="L186" s="66" t="n"/>
      <c r="M186" s="66" t="n"/>
      <c r="N186" s="67">
        <f>IF(B186="","",(D186="Yes")+(E186="No")+(F186="No")+(G186="Weak")+(H186="No")+(I186="No")+(J186="No")+(K186="No")+(L186="No")+(M186="No"))</f>
        <v/>
      </c>
      <c r="O186" s="68">
        <f>IF(B186="","",IF(N186=0,"Done",IF(C186="High","Fix first",IF(C186="Moderate","Fix next",IF(C186="Low","Later","Set category")))))</f>
        <v/>
      </c>
    </row>
    <row r="187" ht="20" customHeight="1">
      <c r="B187" s="65" t="n"/>
      <c r="C187" s="66" t="n"/>
      <c r="D187" s="66" t="n"/>
      <c r="E187" s="66" t="n"/>
      <c r="F187" s="66" t="n"/>
      <c r="G187" s="66" t="n"/>
      <c r="H187" s="66" t="n"/>
      <c r="I187" s="66" t="n"/>
      <c r="J187" s="66" t="n"/>
      <c r="K187" s="66" t="n"/>
      <c r="L187" s="66" t="n"/>
      <c r="M187" s="66" t="n"/>
      <c r="N187" s="67">
        <f>IF(B187="","",(D187="Yes")+(E187="No")+(F187="No")+(G187="Weak")+(H187="No")+(I187="No")+(J187="No")+(K187="No")+(L187="No")+(M187="No"))</f>
        <v/>
      </c>
      <c r="O187" s="68">
        <f>IF(B187="","",IF(N187=0,"Done",IF(C187="High","Fix first",IF(C187="Moderate","Fix next",IF(C187="Low","Later","Set category")))))</f>
        <v/>
      </c>
    </row>
    <row r="188" ht="20" customHeight="1">
      <c r="B188" s="65" t="n"/>
      <c r="C188" s="66" t="n"/>
      <c r="D188" s="66" t="n"/>
      <c r="E188" s="66" t="n"/>
      <c r="F188" s="66" t="n"/>
      <c r="G188" s="66" t="n"/>
      <c r="H188" s="66" t="n"/>
      <c r="I188" s="66" t="n"/>
      <c r="J188" s="66" t="n"/>
      <c r="K188" s="66" t="n"/>
      <c r="L188" s="66" t="n"/>
      <c r="M188" s="66" t="n"/>
      <c r="N188" s="67">
        <f>IF(B188="","",(D188="Yes")+(E188="No")+(F188="No")+(G188="Weak")+(H188="No")+(I188="No")+(J188="No")+(K188="No")+(L188="No")+(M188="No"))</f>
        <v/>
      </c>
      <c r="O188" s="68">
        <f>IF(B188="","",IF(N188=0,"Done",IF(C188="High","Fix first",IF(C188="Moderate","Fix next",IF(C188="Low","Later","Set category")))))</f>
        <v/>
      </c>
    </row>
    <row r="189" ht="20" customHeight="1">
      <c r="B189" s="65" t="n"/>
      <c r="C189" s="66" t="n"/>
      <c r="D189" s="66" t="n"/>
      <c r="E189" s="66" t="n"/>
      <c r="F189" s="66" t="n"/>
      <c r="G189" s="66" t="n"/>
      <c r="H189" s="66" t="n"/>
      <c r="I189" s="66" t="n"/>
      <c r="J189" s="66" t="n"/>
      <c r="K189" s="66" t="n"/>
      <c r="L189" s="66" t="n"/>
      <c r="M189" s="66" t="n"/>
      <c r="N189" s="67">
        <f>IF(B189="","",(D189="Yes")+(E189="No")+(F189="No")+(G189="Weak")+(H189="No")+(I189="No")+(J189="No")+(K189="No")+(L189="No")+(M189="No"))</f>
        <v/>
      </c>
      <c r="O189" s="68">
        <f>IF(B189="","",IF(N189=0,"Done",IF(C189="High","Fix first",IF(C189="Moderate","Fix next",IF(C189="Low","Later","Set category")))))</f>
        <v/>
      </c>
    </row>
    <row r="190" ht="20" customHeight="1">
      <c r="B190" s="65" t="n"/>
      <c r="C190" s="66" t="n"/>
      <c r="D190" s="66" t="n"/>
      <c r="E190" s="66" t="n"/>
      <c r="F190" s="66" t="n"/>
      <c r="G190" s="66" t="n"/>
      <c r="H190" s="66" t="n"/>
      <c r="I190" s="66" t="n"/>
      <c r="J190" s="66" t="n"/>
      <c r="K190" s="66" t="n"/>
      <c r="L190" s="66" t="n"/>
      <c r="M190" s="66" t="n"/>
      <c r="N190" s="67">
        <f>IF(B190="","",(D190="Yes")+(E190="No")+(F190="No")+(G190="Weak")+(H190="No")+(I190="No")+(J190="No")+(K190="No")+(L190="No")+(M190="No"))</f>
        <v/>
      </c>
      <c r="O190" s="68">
        <f>IF(B190="","",IF(N190=0,"Done",IF(C190="High","Fix first",IF(C190="Moderate","Fix next",IF(C190="Low","Later","Set category")))))</f>
        <v/>
      </c>
    </row>
    <row r="191" ht="20" customHeight="1">
      <c r="B191" s="65" t="n"/>
      <c r="C191" s="66" t="n"/>
      <c r="D191" s="66" t="n"/>
      <c r="E191" s="66" t="n"/>
      <c r="F191" s="66" t="n"/>
      <c r="G191" s="66" t="n"/>
      <c r="H191" s="66" t="n"/>
      <c r="I191" s="66" t="n"/>
      <c r="J191" s="66" t="n"/>
      <c r="K191" s="66" t="n"/>
      <c r="L191" s="66" t="n"/>
      <c r="M191" s="66" t="n"/>
      <c r="N191" s="67">
        <f>IF(B191="","",(D191="Yes")+(E191="No")+(F191="No")+(G191="Weak")+(H191="No")+(I191="No")+(J191="No")+(K191="No")+(L191="No")+(M191="No"))</f>
        <v/>
      </c>
      <c r="O191" s="68">
        <f>IF(B191="","",IF(N191=0,"Done",IF(C191="High","Fix first",IF(C191="Moderate","Fix next",IF(C191="Low","Later","Set category")))))</f>
        <v/>
      </c>
    </row>
    <row r="192" ht="20" customHeight="1">
      <c r="B192" s="65" t="n"/>
      <c r="C192" s="66" t="n"/>
      <c r="D192" s="66" t="n"/>
      <c r="E192" s="66" t="n"/>
      <c r="F192" s="66" t="n"/>
      <c r="G192" s="66" t="n"/>
      <c r="H192" s="66" t="n"/>
      <c r="I192" s="66" t="n"/>
      <c r="J192" s="66" t="n"/>
      <c r="K192" s="66" t="n"/>
      <c r="L192" s="66" t="n"/>
      <c r="M192" s="66" t="n"/>
      <c r="N192" s="67">
        <f>IF(B192="","",(D192="Yes")+(E192="No")+(F192="No")+(G192="Weak")+(H192="No")+(I192="No")+(J192="No")+(K192="No")+(L192="No")+(M192="No"))</f>
        <v/>
      </c>
      <c r="O192" s="68">
        <f>IF(B192="","",IF(N192=0,"Done",IF(C192="High","Fix first",IF(C192="Moderate","Fix next",IF(C192="Low","Later","Set category")))))</f>
        <v/>
      </c>
    </row>
    <row r="193" ht="20" customHeight="1">
      <c r="B193" s="65" t="n"/>
      <c r="C193" s="66" t="n"/>
      <c r="D193" s="66" t="n"/>
      <c r="E193" s="66" t="n"/>
      <c r="F193" s="66" t="n"/>
      <c r="G193" s="66" t="n"/>
      <c r="H193" s="66" t="n"/>
      <c r="I193" s="66" t="n"/>
      <c r="J193" s="66" t="n"/>
      <c r="K193" s="66" t="n"/>
      <c r="L193" s="66" t="n"/>
      <c r="M193" s="66" t="n"/>
      <c r="N193" s="67">
        <f>IF(B193="","",(D193="Yes")+(E193="No")+(F193="No")+(G193="Weak")+(H193="No")+(I193="No")+(J193="No")+(K193="No")+(L193="No")+(M193="No"))</f>
        <v/>
      </c>
      <c r="O193" s="68">
        <f>IF(B193="","",IF(N193=0,"Done",IF(C193="High","Fix first",IF(C193="Moderate","Fix next",IF(C193="Low","Later","Set category")))))</f>
        <v/>
      </c>
    </row>
    <row r="194" ht="20" customHeight="1">
      <c r="B194" s="65" t="n"/>
      <c r="C194" s="66" t="n"/>
      <c r="D194" s="66" t="n"/>
      <c r="E194" s="66" t="n"/>
      <c r="F194" s="66" t="n"/>
      <c r="G194" s="66" t="n"/>
      <c r="H194" s="66" t="n"/>
      <c r="I194" s="66" t="n"/>
      <c r="J194" s="66" t="n"/>
      <c r="K194" s="66" t="n"/>
      <c r="L194" s="66" t="n"/>
      <c r="M194" s="66" t="n"/>
      <c r="N194" s="67">
        <f>IF(B194="","",(D194="Yes")+(E194="No")+(F194="No")+(G194="Weak")+(H194="No")+(I194="No")+(J194="No")+(K194="No")+(L194="No")+(M194="No"))</f>
        <v/>
      </c>
      <c r="O194" s="68">
        <f>IF(B194="","",IF(N194=0,"Done",IF(C194="High","Fix first",IF(C194="Moderate","Fix next",IF(C194="Low","Later","Set category")))))</f>
        <v/>
      </c>
    </row>
    <row r="195" ht="20" customHeight="1">
      <c r="B195" s="65" t="n"/>
      <c r="C195" s="66" t="n"/>
      <c r="D195" s="66" t="n"/>
      <c r="E195" s="66" t="n"/>
      <c r="F195" s="66" t="n"/>
      <c r="G195" s="66" t="n"/>
      <c r="H195" s="66" t="n"/>
      <c r="I195" s="66" t="n"/>
      <c r="J195" s="66" t="n"/>
      <c r="K195" s="66" t="n"/>
      <c r="L195" s="66" t="n"/>
      <c r="M195" s="66" t="n"/>
      <c r="N195" s="67">
        <f>IF(B195="","",(D195="Yes")+(E195="No")+(F195="No")+(G195="Weak")+(H195="No")+(I195="No")+(J195="No")+(K195="No")+(L195="No")+(M195="No"))</f>
        <v/>
      </c>
      <c r="O195" s="68">
        <f>IF(B195="","",IF(N195=0,"Done",IF(C195="High","Fix first",IF(C195="Moderate","Fix next",IF(C195="Low","Later","Set category")))))</f>
        <v/>
      </c>
    </row>
    <row r="196" ht="20" customHeight="1">
      <c r="B196" s="65" t="n"/>
      <c r="C196" s="66" t="n"/>
      <c r="D196" s="66" t="n"/>
      <c r="E196" s="66" t="n"/>
      <c r="F196" s="66" t="n"/>
      <c r="G196" s="66" t="n"/>
      <c r="H196" s="66" t="n"/>
      <c r="I196" s="66" t="n"/>
      <c r="J196" s="66" t="n"/>
      <c r="K196" s="66" t="n"/>
      <c r="L196" s="66" t="n"/>
      <c r="M196" s="66" t="n"/>
      <c r="N196" s="67">
        <f>IF(B196="","",(D196="Yes")+(E196="No")+(F196="No")+(G196="Weak")+(H196="No")+(I196="No")+(J196="No")+(K196="No")+(L196="No")+(M196="No"))</f>
        <v/>
      </c>
      <c r="O196" s="68">
        <f>IF(B196="","",IF(N196=0,"Done",IF(C196="High","Fix first",IF(C196="Moderate","Fix next",IF(C196="Low","Later","Set category")))))</f>
        <v/>
      </c>
    </row>
    <row r="197" ht="20" customHeight="1">
      <c r="B197" s="65" t="n"/>
      <c r="C197" s="66" t="n"/>
      <c r="D197" s="66" t="n"/>
      <c r="E197" s="66" t="n"/>
      <c r="F197" s="66" t="n"/>
      <c r="G197" s="66" t="n"/>
      <c r="H197" s="66" t="n"/>
      <c r="I197" s="66" t="n"/>
      <c r="J197" s="66" t="n"/>
      <c r="K197" s="66" t="n"/>
      <c r="L197" s="66" t="n"/>
      <c r="M197" s="66" t="n"/>
      <c r="N197" s="67">
        <f>IF(B197="","",(D197="Yes")+(E197="No")+(F197="No")+(G197="Weak")+(H197="No")+(I197="No")+(J197="No")+(K197="No")+(L197="No")+(M197="No"))</f>
        <v/>
      </c>
      <c r="O197" s="68">
        <f>IF(B197="","",IF(N197=0,"Done",IF(C197="High","Fix first",IF(C197="Moderate","Fix next",IF(C197="Low","Later","Set category")))))</f>
        <v/>
      </c>
    </row>
    <row r="198" ht="20" customHeight="1">
      <c r="B198" s="65" t="n"/>
      <c r="C198" s="66" t="n"/>
      <c r="D198" s="66" t="n"/>
      <c r="E198" s="66" t="n"/>
      <c r="F198" s="66" t="n"/>
      <c r="G198" s="66" t="n"/>
      <c r="H198" s="66" t="n"/>
      <c r="I198" s="66" t="n"/>
      <c r="J198" s="66" t="n"/>
      <c r="K198" s="66" t="n"/>
      <c r="L198" s="66" t="n"/>
      <c r="M198" s="66" t="n"/>
      <c r="N198" s="67">
        <f>IF(B198="","",(D198="Yes")+(E198="No")+(F198="No")+(G198="Weak")+(H198="No")+(I198="No")+(J198="No")+(K198="No")+(L198="No")+(M198="No"))</f>
        <v/>
      </c>
      <c r="O198" s="68">
        <f>IF(B198="","",IF(N198=0,"Done",IF(C198="High","Fix first",IF(C198="Moderate","Fix next",IF(C198="Low","Later","Set category")))))</f>
        <v/>
      </c>
    </row>
    <row r="199" ht="20" customHeight="1">
      <c r="B199" s="65" t="n"/>
      <c r="C199" s="66" t="n"/>
      <c r="D199" s="66" t="n"/>
      <c r="E199" s="66" t="n"/>
      <c r="F199" s="66" t="n"/>
      <c r="G199" s="66" t="n"/>
      <c r="H199" s="66" t="n"/>
      <c r="I199" s="66" t="n"/>
      <c r="J199" s="66" t="n"/>
      <c r="K199" s="66" t="n"/>
      <c r="L199" s="66" t="n"/>
      <c r="M199" s="66" t="n"/>
      <c r="N199" s="67">
        <f>IF(B199="","",(D199="Yes")+(E199="No")+(F199="No")+(G199="Weak")+(H199="No")+(I199="No")+(J199="No")+(K199="No")+(L199="No")+(M199="No"))</f>
        <v/>
      </c>
      <c r="O199" s="68">
        <f>IF(B199="","",IF(N199=0,"Done",IF(C199="High","Fix first",IF(C199="Moderate","Fix next",IF(C199="Low","Later","Set category")))))</f>
        <v/>
      </c>
    </row>
    <row r="200" ht="20" customHeight="1">
      <c r="B200" s="65" t="n"/>
      <c r="C200" s="66" t="n"/>
      <c r="D200" s="66" t="n"/>
      <c r="E200" s="66" t="n"/>
      <c r="F200" s="66" t="n"/>
      <c r="G200" s="66" t="n"/>
      <c r="H200" s="66" t="n"/>
      <c r="I200" s="66" t="n"/>
      <c r="J200" s="66" t="n"/>
      <c r="K200" s="66" t="n"/>
      <c r="L200" s="66" t="n"/>
      <c r="M200" s="66" t="n"/>
      <c r="N200" s="67">
        <f>IF(B200="","",(D200="Yes")+(E200="No")+(F200="No")+(G200="Weak")+(H200="No")+(I200="No")+(J200="No")+(K200="No")+(L200="No")+(M200="No"))</f>
        <v/>
      </c>
      <c r="O200" s="68">
        <f>IF(B200="","",IF(N200=0,"Done",IF(C200="High","Fix first",IF(C200="Moderate","Fix next",IF(C200="Low","Later","Set category")))))</f>
        <v/>
      </c>
    </row>
    <row r="201" ht="20" customHeight="1">
      <c r="B201" s="65" t="n"/>
      <c r="C201" s="66" t="n"/>
      <c r="D201" s="66" t="n"/>
      <c r="E201" s="66" t="n"/>
      <c r="F201" s="66" t="n"/>
      <c r="G201" s="66" t="n"/>
      <c r="H201" s="66" t="n"/>
      <c r="I201" s="66" t="n"/>
      <c r="J201" s="66" t="n"/>
      <c r="K201" s="66" t="n"/>
      <c r="L201" s="66" t="n"/>
      <c r="M201" s="66" t="n"/>
      <c r="N201" s="67">
        <f>IF(B201="","",(D201="Yes")+(E201="No")+(F201="No")+(G201="Weak")+(H201="No")+(I201="No")+(J201="No")+(K201="No")+(L201="No")+(M201="No"))</f>
        <v/>
      </c>
      <c r="O201" s="68">
        <f>IF(B201="","",IF(N201=0,"Done",IF(C201="High","Fix first",IF(C201="Moderate","Fix next",IF(C201="Low","Later","Set category")))))</f>
        <v/>
      </c>
    </row>
    <row r="202" ht="20" customHeight="1">
      <c r="B202" s="65" t="n"/>
      <c r="C202" s="66" t="n"/>
      <c r="D202" s="66" t="n"/>
      <c r="E202" s="66" t="n"/>
      <c r="F202" s="66" t="n"/>
      <c r="G202" s="66" t="n"/>
      <c r="H202" s="66" t="n"/>
      <c r="I202" s="66" t="n"/>
      <c r="J202" s="66" t="n"/>
      <c r="K202" s="66" t="n"/>
      <c r="L202" s="66" t="n"/>
      <c r="M202" s="66" t="n"/>
      <c r="N202" s="67">
        <f>IF(B202="","",(D202="Yes")+(E202="No")+(F202="No")+(G202="Weak")+(H202="No")+(I202="No")+(J202="No")+(K202="No")+(L202="No")+(M202="No"))</f>
        <v/>
      </c>
      <c r="O202" s="68">
        <f>IF(B202="","",IF(N202=0,"Done",IF(C202="High","Fix first",IF(C202="Moderate","Fix next",IF(C202="Low","Later","Set category")))))</f>
        <v/>
      </c>
    </row>
    <row r="203" ht="20" customHeight="1">
      <c r="B203" s="65" t="n"/>
      <c r="C203" s="66" t="n"/>
      <c r="D203" s="66" t="n"/>
      <c r="E203" s="66" t="n"/>
      <c r="F203" s="66" t="n"/>
      <c r="G203" s="66" t="n"/>
      <c r="H203" s="66" t="n"/>
      <c r="I203" s="66" t="n"/>
      <c r="J203" s="66" t="n"/>
      <c r="K203" s="66" t="n"/>
      <c r="L203" s="66" t="n"/>
      <c r="M203" s="66" t="n"/>
      <c r="N203" s="67">
        <f>IF(B203="","",(D203="Yes")+(E203="No")+(F203="No")+(G203="Weak")+(H203="No")+(I203="No")+(J203="No")+(K203="No")+(L203="No")+(M203="No"))</f>
        <v/>
      </c>
      <c r="O203" s="68">
        <f>IF(B203="","",IF(N203=0,"Done",IF(C203="High","Fix first",IF(C203="Moderate","Fix next",IF(C203="Low","Later","Set category")))))</f>
        <v/>
      </c>
    </row>
    <row r="204" ht="20" customHeight="1">
      <c r="B204" s="65" t="n"/>
      <c r="C204" s="66" t="n"/>
      <c r="D204" s="66" t="n"/>
      <c r="E204" s="66" t="n"/>
      <c r="F204" s="66" t="n"/>
      <c r="G204" s="66" t="n"/>
      <c r="H204" s="66" t="n"/>
      <c r="I204" s="66" t="n"/>
      <c r="J204" s="66" t="n"/>
      <c r="K204" s="66" t="n"/>
      <c r="L204" s="66" t="n"/>
      <c r="M204" s="66" t="n"/>
      <c r="N204" s="67">
        <f>IF(B204="","",(D204="Yes")+(E204="No")+(F204="No")+(G204="Weak")+(H204="No")+(I204="No")+(J204="No")+(K204="No")+(L204="No")+(M204="No"))</f>
        <v/>
      </c>
      <c r="O204" s="68">
        <f>IF(B204="","",IF(N204=0,"Done",IF(C204="High","Fix first",IF(C204="Moderate","Fix next",IF(C204="Low","Later","Set category")))))</f>
        <v/>
      </c>
    </row>
    <row r="205" ht="20" customHeight="1">
      <c r="B205" s="65" t="n"/>
      <c r="C205" s="66" t="n"/>
      <c r="D205" s="66" t="n"/>
      <c r="E205" s="66" t="n"/>
      <c r="F205" s="66" t="n"/>
      <c r="G205" s="66" t="n"/>
      <c r="H205" s="66" t="n"/>
      <c r="I205" s="66" t="n"/>
      <c r="J205" s="66" t="n"/>
      <c r="K205" s="66" t="n"/>
      <c r="L205" s="66" t="n"/>
      <c r="M205" s="66" t="n"/>
      <c r="N205" s="67">
        <f>IF(B205="","",(D205="Yes")+(E205="No")+(F205="No")+(G205="Weak")+(H205="No")+(I205="No")+(J205="No")+(K205="No")+(L205="No")+(M205="No"))</f>
        <v/>
      </c>
      <c r="O205" s="68">
        <f>IF(B205="","",IF(N205=0,"Done",IF(C205="High","Fix first",IF(C205="Moderate","Fix next",IF(C205="Low","Later","Set category")))))</f>
        <v/>
      </c>
    </row>
    <row r="206" ht="20" customHeight="1">
      <c r="B206" s="65" t="n"/>
      <c r="C206" s="66" t="n"/>
      <c r="D206" s="66" t="n"/>
      <c r="E206" s="66" t="n"/>
      <c r="F206" s="66" t="n"/>
      <c r="G206" s="66" t="n"/>
      <c r="H206" s="66" t="n"/>
      <c r="I206" s="66" t="n"/>
      <c r="J206" s="66" t="n"/>
      <c r="K206" s="66" t="n"/>
      <c r="L206" s="66" t="n"/>
      <c r="M206" s="66" t="n"/>
      <c r="N206" s="67">
        <f>IF(B206="","",(D206="Yes")+(E206="No")+(F206="No")+(G206="Weak")+(H206="No")+(I206="No")+(J206="No")+(K206="No")+(L206="No")+(M206="No"))</f>
        <v/>
      </c>
      <c r="O206" s="68">
        <f>IF(B206="","",IF(N206=0,"Done",IF(C206="High","Fix first",IF(C206="Moderate","Fix next",IF(C206="Low","Later","Set category")))))</f>
        <v/>
      </c>
    </row>
    <row r="207" ht="20" customHeight="1">
      <c r="B207" s="65" t="n"/>
      <c r="C207" s="66" t="n"/>
      <c r="D207" s="66" t="n"/>
      <c r="E207" s="66" t="n"/>
      <c r="F207" s="66" t="n"/>
      <c r="G207" s="66" t="n"/>
      <c r="H207" s="66" t="n"/>
      <c r="I207" s="66" t="n"/>
      <c r="J207" s="66" t="n"/>
      <c r="K207" s="66" t="n"/>
      <c r="L207" s="66" t="n"/>
      <c r="M207" s="66" t="n"/>
      <c r="N207" s="67">
        <f>IF(B207="","",(D207="Yes")+(E207="No")+(F207="No")+(G207="Weak")+(H207="No")+(I207="No")+(J207="No")+(K207="No")+(L207="No")+(M207="No"))</f>
        <v/>
      </c>
      <c r="O207" s="68">
        <f>IF(B207="","",IF(N207=0,"Done",IF(C207="High","Fix first",IF(C207="Moderate","Fix next",IF(C207="Low","Later","Set category")))))</f>
        <v/>
      </c>
    </row>
  </sheetData>
  <autoFilter ref="B6:O207"/>
  <mergeCells count="1">
    <mergeCell ref="B5:O5"/>
  </mergeCells>
  <conditionalFormatting sqref="C8:C207">
    <cfRule type="cellIs" priority="1" operator="equal" dxfId="0">
      <formula>"High"</formula>
    </cfRule>
    <cfRule type="cellIs" priority="2" operator="equal" dxfId="1">
      <formula>"Moderate"</formula>
    </cfRule>
    <cfRule type="cellIs" priority="3" operator="equal" dxfId="2">
      <formula>"Low"</formula>
    </cfRule>
  </conditionalFormatting>
  <conditionalFormatting sqref="D8:D207">
    <cfRule type="cellIs" priority="4" operator="equal" dxfId="0">
      <formula>"Yes"</formula>
    </cfRule>
    <cfRule type="cellIs" priority="5" operator="equal" dxfId="1">
      <formula>"Maybe"</formula>
    </cfRule>
    <cfRule type="cellIs" priority="6" operator="equal" dxfId="2">
      <formula>"No"</formula>
    </cfRule>
  </conditionalFormatting>
  <conditionalFormatting sqref="E8:E207">
    <cfRule type="cellIs" priority="7" operator="equal" dxfId="2">
      <formula>"Yes"</formula>
    </cfRule>
    <cfRule type="cellIs" priority="8" operator="equal" dxfId="0">
      <formula>"No"</formula>
    </cfRule>
  </conditionalFormatting>
  <conditionalFormatting sqref="F8:F207">
    <cfRule type="cellIs" priority="9" operator="equal" dxfId="2">
      <formula>"Yes"</formula>
    </cfRule>
    <cfRule type="cellIs" priority="10" operator="equal" dxfId="0">
      <formula>"No"</formula>
    </cfRule>
  </conditionalFormatting>
  <conditionalFormatting sqref="G8:G207">
    <cfRule type="cellIs" priority="11" operator="equal" dxfId="2">
      <formula>"Complex"</formula>
    </cfRule>
    <cfRule type="cellIs" priority="12" operator="equal" dxfId="0">
      <formula>"Weak"</formula>
    </cfRule>
  </conditionalFormatting>
  <conditionalFormatting sqref="H8:H207">
    <cfRule type="cellIs" priority="13" operator="equal" dxfId="2">
      <formula>"Yes"</formula>
    </cfRule>
    <cfRule type="cellIs" priority="14" operator="equal" dxfId="0">
      <formula>"No"</formula>
    </cfRule>
  </conditionalFormatting>
  <conditionalFormatting sqref="I8:I207">
    <cfRule type="cellIs" priority="15" operator="equal" dxfId="2">
      <formula>"Yes"</formula>
    </cfRule>
    <cfRule type="cellIs" priority="16" operator="equal" dxfId="0">
      <formula>"No"</formula>
    </cfRule>
  </conditionalFormatting>
  <conditionalFormatting sqref="J8:J207">
    <cfRule type="cellIs" priority="17" operator="equal" dxfId="2">
      <formula>"Yes"</formula>
    </cfRule>
    <cfRule type="cellIs" priority="18" operator="equal" dxfId="0">
      <formula>"No"</formula>
    </cfRule>
  </conditionalFormatting>
  <conditionalFormatting sqref="K8:K207">
    <cfRule type="cellIs" priority="19" operator="equal" dxfId="2">
      <formula>"Yes"</formula>
    </cfRule>
    <cfRule type="cellIs" priority="20" operator="equal" dxfId="1">
      <formula>"Maybe"</formula>
    </cfRule>
    <cfRule type="cellIs" priority="21" operator="equal" dxfId="0">
      <formula>"No"</formula>
    </cfRule>
  </conditionalFormatting>
  <conditionalFormatting sqref="L8:L207">
    <cfRule type="cellIs" priority="22" operator="equal" dxfId="2">
      <formula>"Yes"</formula>
    </cfRule>
    <cfRule type="cellIs" priority="23" operator="equal" dxfId="0">
      <formula>"No"</formula>
    </cfRule>
  </conditionalFormatting>
  <conditionalFormatting sqref="M8:M207">
    <cfRule type="cellIs" priority="24" operator="equal" dxfId="2">
      <formula>"Yes"</formula>
    </cfRule>
    <cfRule type="cellIs" priority="25" operator="equal" dxfId="0">
      <formula>"No"</formula>
    </cfRule>
  </conditionalFormatting>
  <conditionalFormatting sqref="N8:N207">
    <cfRule type="expression" priority="26" dxfId="0">
      <formula>AND(ISNUMBER(N8),N8&gt;=3)</formula>
    </cfRule>
    <cfRule type="expression" priority="27" dxfId="1">
      <formula>AND(ISNUMBER(N8),N8&gt;=1)</formula>
    </cfRule>
    <cfRule type="expression" priority="28" dxfId="2">
      <formula>AND(ISNUMBER(N8),N8=0)</formula>
    </cfRule>
  </conditionalFormatting>
  <conditionalFormatting sqref="O8:O207">
    <cfRule type="cellIs" priority="29" operator="equal" dxfId="0">
      <formula>"Fix first"</formula>
    </cfRule>
    <cfRule type="cellIs" priority="30" operator="equal" dxfId="1">
      <formula>"Fix next"</formula>
    </cfRule>
    <cfRule type="cellIs" priority="31" operator="equal" dxfId="3">
      <formula>"Later"</formula>
    </cfRule>
    <cfRule type="cellIs" priority="32" operator="equal" dxfId="2">
      <formula>"Done"</formula>
    </cfRule>
    <cfRule type="cellIs" priority="33" operator="equal" dxfId="3">
      <formula>"Set category"</formula>
    </cfRule>
  </conditionalFormatting>
  <dataValidations count="11">
    <dataValidation sqref="C7:C207" showDropDown="0" showInputMessage="0" showErrorMessage="1" allowBlank="1" errorTitle="Pick from the list" error="Choose one of: Low, Moderate, High" type="list">
      <formula1>"Low,Moderate,High"</formula1>
    </dataValidation>
    <dataValidation sqref="D7:D207" showDropDown="0" showInputMessage="0" showErrorMessage="1" allowBlank="1" errorTitle="Pick from the list" error="Choose one of: Yes, No, Maybe" type="list">
      <formula1>"Yes,No,Maybe"</formula1>
    </dataValidation>
    <dataValidation sqref="E7:E207" showDropDown="0" showInputMessage="0" showErrorMessage="1" allowBlank="1" errorTitle="Pick from the list" error="Choose one of: Yes, No" type="list">
      <formula1>"Yes,No"</formula1>
    </dataValidation>
    <dataValidation sqref="F7:F207" showDropDown="0" showInputMessage="0" showErrorMessage="1" allowBlank="1" errorTitle="Pick from the list" error="Choose one of: Yes, No" type="list">
      <formula1>"Yes,No"</formula1>
    </dataValidation>
    <dataValidation sqref="G7:G207" showDropDown="0" showInputMessage="0" showErrorMessage="1" allowBlank="1" errorTitle="Pick from the list" error="Choose one of: Complex, Weak" type="list">
      <formula1>"Complex,Weak"</formula1>
    </dataValidation>
    <dataValidation sqref="H7:H207" showDropDown="0" showInputMessage="0" showErrorMessage="1" allowBlank="1" errorTitle="Pick from the list" error="Choose one of: Yes, No" type="list">
      <formula1>"Yes,No"</formula1>
    </dataValidation>
    <dataValidation sqref="I7:I207" showDropDown="0" showInputMessage="0" showErrorMessage="1" allowBlank="1" errorTitle="Pick from the list" error="Choose one of: Yes, No" type="list">
      <formula1>"Yes,No"</formula1>
    </dataValidation>
    <dataValidation sqref="J7:J207" showDropDown="0" showInputMessage="0" showErrorMessage="1" allowBlank="1" errorTitle="Pick from the list" error="Choose one of: Yes, No" type="list">
      <formula1>"Yes,No"</formula1>
    </dataValidation>
    <dataValidation sqref="K7:K207" showDropDown="0" showInputMessage="0" showErrorMessage="1" allowBlank="1" errorTitle="Pick from the list" error="Choose one of: Yes, No, Maybe" type="list">
      <formula1>"Yes,No,Maybe"</formula1>
    </dataValidation>
    <dataValidation sqref="L7:L207" showDropDown="0" showInputMessage="0" showErrorMessage="1" allowBlank="1" errorTitle="Pick from the list" error="Choose one of: Yes, No" type="list">
      <formula1>"Yes,No"</formula1>
    </dataValidation>
    <dataValidation sqref="M7:M207" showDropDown="0" showInputMessage="0" showErrorMessage="1" allowBlank="1" errorTitle="Pick from the list" error="Choose one of: Yes, No" type="list">
      <formula1>"Yes,No"</formula1>
    </dataValidation>
  </dataValidations>
  <hyperlinks>
    <hyperlink ref="O2" location="'Start Here'!A1" display="Start Here"/>
  </hyperlinks>
  <pageMargins left="0.4" right="0.4" top="0.5" bottom="0.5"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tabColor rgb="002A78D6"/>
    <outlinePr summaryBelow="1" summaryRight="1"/>
    <pageSetUpPr fitToPage="1"/>
  </sheetPr>
  <dimension ref="A1:L207"/>
  <sheetViews>
    <sheetView showGridLines="0" zoomScale="10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2" customWidth="1" min="2" max="2"/>
    <col width="11.5" customWidth="1" min="3" max="3"/>
    <col width="12" customWidth="1" min="4" max="4"/>
    <col width="12" customWidth="1" min="5" max="5"/>
    <col width="8.5" customWidth="1" min="6" max="6"/>
    <col width="12.5" customWidth="1" min="7" max="7"/>
    <col width="12" customWidth="1" min="8" max="8"/>
    <col width="16" customWidth="1" min="9" max="9"/>
    <col width="9.5" customWidth="1" min="10" max="10"/>
    <col width="14.5" customWidth="1" min="11" max="11"/>
    <col width="2.5" customWidth="1" min="12" max="12"/>
  </cols>
  <sheetData>
    <row r="1" ht="10" customHeight="1">
      <c r="A1" s="1" t="n"/>
      <c r="B1" s="1" t="n"/>
      <c r="C1" s="1" t="n"/>
      <c r="D1" s="1" t="n"/>
      <c r="E1" s="1" t="n"/>
      <c r="F1" s="1" t="n"/>
      <c r="G1" s="1" t="n"/>
      <c r="H1" s="1" t="n"/>
      <c r="I1" s="1" t="n"/>
      <c r="J1" s="1" t="n"/>
      <c r="K1" s="1" t="n"/>
      <c r="L1" s="1" t="n"/>
    </row>
    <row r="2" ht="34" customHeight="1">
      <c r="A2" s="1" t="n"/>
      <c r="B2" s="2" t="inlineStr">
        <is>
          <t>Accounts</t>
        </is>
      </c>
      <c r="C2" s="1" t="n"/>
      <c r="D2" s="1" t="n"/>
      <c r="E2" s="1" t="n"/>
      <c r="F2" s="1" t="n"/>
      <c r="G2" s="1" t="n"/>
      <c r="H2" s="1" t="n"/>
      <c r="I2" s="1" t="n"/>
      <c r="J2" s="1" t="n"/>
      <c r="K2" s="31" t="inlineStr">
        <is>
          <t>← Start Here</t>
        </is>
      </c>
      <c r="L2" s="1" t="n"/>
    </row>
    <row r="3" ht="20" customHeight="1">
      <c r="A3" s="1" t="n"/>
      <c r="B3" s="3" t="inlineStr">
        <is>
          <t>Every login that protects something you care about</t>
        </is>
      </c>
      <c r="C3" s="1" t="n"/>
      <c r="D3" s="1" t="n"/>
      <c r="E3" s="1" t="n"/>
      <c r="F3" s="1" t="n"/>
      <c r="G3" s="1" t="n"/>
      <c r="H3" s="1" t="n"/>
      <c r="I3" s="1" t="n"/>
      <c r="J3" s="1" t="n"/>
      <c r="K3" s="1" t="n"/>
      <c r="L3" s="1" t="n"/>
    </row>
    <row r="4" ht="12" customHeight="1">
      <c r="A4" s="1" t="n"/>
      <c r="B4" s="1" t="n"/>
      <c r="C4" s="1" t="n"/>
      <c r="D4" s="1" t="n"/>
      <c r="E4" s="1" t="n"/>
      <c r="F4" s="1" t="n"/>
      <c r="G4" s="1" t="n"/>
      <c r="H4" s="1" t="n"/>
      <c r="I4" s="1" t="n"/>
      <c r="J4" s="1" t="n"/>
      <c r="K4" s="1" t="n"/>
      <c r="L4" s="1" t="n"/>
    </row>
    <row r="5" ht="46.4" customHeight="1">
      <c r="B5" s="69" t="inlineStr">
        <is>
          <t>List every account: email, banking, social media, shopping, work, cloud storage, password manager. Order this by security category. Check each email address at haveibeenpwned.com.</t>
        </is>
      </c>
    </row>
    <row r="6" ht="40.4" customHeight="1">
      <c r="B6" s="59" t="inlineStr">
        <is>
          <t>Account</t>
        </is>
      </c>
      <c r="C6" s="60" t="inlineStr">
        <is>
          <t>Security Category</t>
        </is>
      </c>
      <c r="D6" s="60" t="inlineStr">
        <is>
          <t>Unique Password</t>
        </is>
      </c>
      <c r="E6" s="60" t="inlineStr">
        <is>
          <t>Complex Password</t>
        </is>
      </c>
      <c r="F6" s="60" t="inlineStr">
        <is>
          <t>MFA</t>
        </is>
      </c>
      <c r="G6" s="60" t="inlineStr">
        <is>
          <t>Account Hardening</t>
        </is>
      </c>
      <c r="H6" s="60" t="inlineStr">
        <is>
          <t>Password Sharing</t>
        </is>
      </c>
      <c r="I6" s="60" t="inlineStr">
        <is>
          <t>Pwned?</t>
        </is>
      </c>
      <c r="J6" s="60" t="inlineStr">
        <is>
          <t>Gaps</t>
        </is>
      </c>
      <c r="K6" s="60" t="inlineStr">
        <is>
          <t>Priority</t>
        </is>
      </c>
    </row>
    <row r="7" ht="20" customHeight="1">
      <c r="B7" s="61" t="inlineStr">
        <is>
          <t>Example: primary email</t>
        </is>
      </c>
      <c r="C7" s="62" t="inlineStr">
        <is>
          <t>High</t>
        </is>
      </c>
      <c r="D7" s="62" t="inlineStr">
        <is>
          <t>Yes</t>
        </is>
      </c>
      <c r="E7" s="62" t="inlineStr">
        <is>
          <t>Yes</t>
        </is>
      </c>
      <c r="F7" s="62" t="inlineStr">
        <is>
          <t>Yes</t>
        </is>
      </c>
      <c r="G7" s="62" t="inlineStr">
        <is>
          <t>No</t>
        </is>
      </c>
      <c r="H7" s="62" t="inlineStr">
        <is>
          <t>Safe</t>
        </is>
      </c>
      <c r="I7" s="62" t="inlineStr">
        <is>
          <t>Clean</t>
        </is>
      </c>
      <c r="J7" s="63">
        <f>IF(B7="","",(D7="No")+(E7="No")+(F7="No")+(G7="No")+(H7="Shared")+(I7="Compromised"))</f>
        <v/>
      </c>
      <c r="K7" s="64">
        <f>IF(B7="","",IF(J7=0,"Done",IF(C7="High","Fix first",IF(C7="Moderate","Fix next",IF(C7="Low","Later","Set category")))))</f>
        <v/>
      </c>
    </row>
    <row r="8" ht="20" customHeight="1">
      <c r="B8" s="65" t="n"/>
      <c r="C8" s="66" t="n"/>
      <c r="D8" s="66" t="n"/>
      <c r="E8" s="66" t="n"/>
      <c r="F8" s="66" t="n"/>
      <c r="G8" s="66" t="n"/>
      <c r="H8" s="66" t="n"/>
      <c r="I8" s="66" t="n"/>
      <c r="J8" s="67">
        <f>IF(B8="","",(D8="No")+(E8="No")+(F8="No")+(G8="No")+(H8="Shared")+(I8="Compromised"))</f>
        <v/>
      </c>
      <c r="K8" s="68">
        <f>IF(B8="","",IF(J8=0,"Done",IF(C8="High","Fix first",IF(C8="Moderate","Fix next",IF(C8="Low","Later","Set category")))))</f>
        <v/>
      </c>
    </row>
    <row r="9" ht="20" customHeight="1">
      <c r="B9" s="65" t="n"/>
      <c r="C9" s="66" t="n"/>
      <c r="D9" s="66" t="n"/>
      <c r="E9" s="66" t="n"/>
      <c r="F9" s="66" t="n"/>
      <c r="G9" s="66" t="n"/>
      <c r="H9" s="66" t="n"/>
      <c r="I9" s="66" t="n"/>
      <c r="J9" s="67">
        <f>IF(B9="","",(D9="No")+(E9="No")+(F9="No")+(G9="No")+(H9="Shared")+(I9="Compromised"))</f>
        <v/>
      </c>
      <c r="K9" s="68">
        <f>IF(B9="","",IF(J9=0,"Done",IF(C9="High","Fix first",IF(C9="Moderate","Fix next",IF(C9="Low","Later","Set category")))))</f>
        <v/>
      </c>
    </row>
    <row r="10" ht="20" customHeight="1">
      <c r="B10" s="65" t="n"/>
      <c r="C10" s="66" t="n"/>
      <c r="D10" s="66" t="n"/>
      <c r="E10" s="66" t="n"/>
      <c r="F10" s="66" t="n"/>
      <c r="G10" s="66" t="n"/>
      <c r="H10" s="66" t="n"/>
      <c r="I10" s="66" t="n"/>
      <c r="J10" s="67">
        <f>IF(B10="","",(D10="No")+(E10="No")+(F10="No")+(G10="No")+(H10="Shared")+(I10="Compromised"))</f>
        <v/>
      </c>
      <c r="K10" s="68">
        <f>IF(B10="","",IF(J10=0,"Done",IF(C10="High","Fix first",IF(C10="Moderate","Fix next",IF(C10="Low","Later","Set category")))))</f>
        <v/>
      </c>
    </row>
    <row r="11" ht="20" customHeight="1">
      <c r="B11" s="65" t="n"/>
      <c r="C11" s="66" t="n"/>
      <c r="D11" s="66" t="n"/>
      <c r="E11" s="66" t="n"/>
      <c r="F11" s="66" t="n"/>
      <c r="G11" s="66" t="n"/>
      <c r="H11" s="66" t="n"/>
      <c r="I11" s="66" t="n"/>
      <c r="J11" s="67">
        <f>IF(B11="","",(D11="No")+(E11="No")+(F11="No")+(G11="No")+(H11="Shared")+(I11="Compromised"))</f>
        <v/>
      </c>
      <c r="K11" s="68">
        <f>IF(B11="","",IF(J11=0,"Done",IF(C11="High","Fix first",IF(C11="Moderate","Fix next",IF(C11="Low","Later","Set category")))))</f>
        <v/>
      </c>
    </row>
    <row r="12" ht="20" customHeight="1">
      <c r="B12" s="65" t="n"/>
      <c r="C12" s="66" t="n"/>
      <c r="D12" s="66" t="n"/>
      <c r="E12" s="66" t="n"/>
      <c r="F12" s="66" t="n"/>
      <c r="G12" s="66" t="n"/>
      <c r="H12" s="66" t="n"/>
      <c r="I12" s="66" t="n"/>
      <c r="J12" s="67">
        <f>IF(B12="","",(D12="No")+(E12="No")+(F12="No")+(G12="No")+(H12="Shared")+(I12="Compromised"))</f>
        <v/>
      </c>
      <c r="K12" s="68">
        <f>IF(B12="","",IF(J12=0,"Done",IF(C12="High","Fix first",IF(C12="Moderate","Fix next",IF(C12="Low","Later","Set category")))))</f>
        <v/>
      </c>
    </row>
    <row r="13" ht="20" customHeight="1">
      <c r="B13" s="65" t="n"/>
      <c r="C13" s="66" t="n"/>
      <c r="D13" s="66" t="n"/>
      <c r="E13" s="66" t="n"/>
      <c r="F13" s="66" t="n"/>
      <c r="G13" s="66" t="n"/>
      <c r="H13" s="66" t="n"/>
      <c r="I13" s="66" t="n"/>
      <c r="J13" s="67">
        <f>IF(B13="","",(D13="No")+(E13="No")+(F13="No")+(G13="No")+(H13="Shared")+(I13="Compromised"))</f>
        <v/>
      </c>
      <c r="K13" s="68">
        <f>IF(B13="","",IF(J13=0,"Done",IF(C13="High","Fix first",IF(C13="Moderate","Fix next",IF(C13="Low","Later","Set category")))))</f>
        <v/>
      </c>
    </row>
    <row r="14" ht="20" customHeight="1">
      <c r="B14" s="65" t="n"/>
      <c r="C14" s="66" t="n"/>
      <c r="D14" s="66" t="n"/>
      <c r="E14" s="66" t="n"/>
      <c r="F14" s="66" t="n"/>
      <c r="G14" s="66" t="n"/>
      <c r="H14" s="66" t="n"/>
      <c r="I14" s="66" t="n"/>
      <c r="J14" s="67">
        <f>IF(B14="","",(D14="No")+(E14="No")+(F14="No")+(G14="No")+(H14="Shared")+(I14="Compromised"))</f>
        <v/>
      </c>
      <c r="K14" s="68">
        <f>IF(B14="","",IF(J14=0,"Done",IF(C14="High","Fix first",IF(C14="Moderate","Fix next",IF(C14="Low","Later","Set category")))))</f>
        <v/>
      </c>
    </row>
    <row r="15" ht="20" customHeight="1">
      <c r="B15" s="65" t="n"/>
      <c r="C15" s="66" t="n"/>
      <c r="D15" s="66" t="n"/>
      <c r="E15" s="66" t="n"/>
      <c r="F15" s="66" t="n"/>
      <c r="G15" s="66" t="n"/>
      <c r="H15" s="66" t="n"/>
      <c r="I15" s="66" t="n"/>
      <c r="J15" s="67">
        <f>IF(B15="","",(D15="No")+(E15="No")+(F15="No")+(G15="No")+(H15="Shared")+(I15="Compromised"))</f>
        <v/>
      </c>
      <c r="K15" s="68">
        <f>IF(B15="","",IF(J15=0,"Done",IF(C15="High","Fix first",IF(C15="Moderate","Fix next",IF(C15="Low","Later","Set category")))))</f>
        <v/>
      </c>
    </row>
    <row r="16" ht="20" customHeight="1">
      <c r="B16" s="65" t="n"/>
      <c r="C16" s="66" t="n"/>
      <c r="D16" s="66" t="n"/>
      <c r="E16" s="66" t="n"/>
      <c r="F16" s="66" t="n"/>
      <c r="G16" s="66" t="n"/>
      <c r="H16" s="66" t="n"/>
      <c r="I16" s="66" t="n"/>
      <c r="J16" s="67">
        <f>IF(B16="","",(D16="No")+(E16="No")+(F16="No")+(G16="No")+(H16="Shared")+(I16="Compromised"))</f>
        <v/>
      </c>
      <c r="K16" s="68">
        <f>IF(B16="","",IF(J16=0,"Done",IF(C16="High","Fix first",IF(C16="Moderate","Fix next",IF(C16="Low","Later","Set category")))))</f>
        <v/>
      </c>
    </row>
    <row r="17" ht="20" customHeight="1">
      <c r="B17" s="65" t="n"/>
      <c r="C17" s="66" t="n"/>
      <c r="D17" s="66" t="n"/>
      <c r="E17" s="66" t="n"/>
      <c r="F17" s="66" t="n"/>
      <c r="G17" s="66" t="n"/>
      <c r="H17" s="66" t="n"/>
      <c r="I17" s="66" t="n"/>
      <c r="J17" s="67">
        <f>IF(B17="","",(D17="No")+(E17="No")+(F17="No")+(G17="No")+(H17="Shared")+(I17="Compromised"))</f>
        <v/>
      </c>
      <c r="K17" s="68">
        <f>IF(B17="","",IF(J17=0,"Done",IF(C17="High","Fix first",IF(C17="Moderate","Fix next",IF(C17="Low","Later","Set category")))))</f>
        <v/>
      </c>
    </row>
    <row r="18" ht="20" customHeight="1">
      <c r="B18" s="65" t="n"/>
      <c r="C18" s="66" t="n"/>
      <c r="D18" s="66" t="n"/>
      <c r="E18" s="66" t="n"/>
      <c r="F18" s="66" t="n"/>
      <c r="G18" s="66" t="n"/>
      <c r="H18" s="66" t="n"/>
      <c r="I18" s="66" t="n"/>
      <c r="J18" s="67">
        <f>IF(B18="","",(D18="No")+(E18="No")+(F18="No")+(G18="No")+(H18="Shared")+(I18="Compromised"))</f>
        <v/>
      </c>
      <c r="K18" s="68">
        <f>IF(B18="","",IF(J18=0,"Done",IF(C18="High","Fix first",IF(C18="Moderate","Fix next",IF(C18="Low","Later","Set category")))))</f>
        <v/>
      </c>
    </row>
    <row r="19" ht="20" customHeight="1">
      <c r="B19" s="65" t="n"/>
      <c r="C19" s="66" t="n"/>
      <c r="D19" s="66" t="n"/>
      <c r="E19" s="66" t="n"/>
      <c r="F19" s="66" t="n"/>
      <c r="G19" s="66" t="n"/>
      <c r="H19" s="66" t="n"/>
      <c r="I19" s="66" t="n"/>
      <c r="J19" s="67">
        <f>IF(B19="","",(D19="No")+(E19="No")+(F19="No")+(G19="No")+(H19="Shared")+(I19="Compromised"))</f>
        <v/>
      </c>
      <c r="K19" s="68">
        <f>IF(B19="","",IF(J19=0,"Done",IF(C19="High","Fix first",IF(C19="Moderate","Fix next",IF(C19="Low","Later","Set category")))))</f>
        <v/>
      </c>
    </row>
    <row r="20" ht="20" customHeight="1">
      <c r="B20" s="65" t="n"/>
      <c r="C20" s="66" t="n"/>
      <c r="D20" s="66" t="n"/>
      <c r="E20" s="66" t="n"/>
      <c r="F20" s="66" t="n"/>
      <c r="G20" s="66" t="n"/>
      <c r="H20" s="66" t="n"/>
      <c r="I20" s="66" t="n"/>
      <c r="J20" s="67">
        <f>IF(B20="","",(D20="No")+(E20="No")+(F20="No")+(G20="No")+(H20="Shared")+(I20="Compromised"))</f>
        <v/>
      </c>
      <c r="K20" s="68">
        <f>IF(B20="","",IF(J20=0,"Done",IF(C20="High","Fix first",IF(C20="Moderate","Fix next",IF(C20="Low","Later","Set category")))))</f>
        <v/>
      </c>
    </row>
    <row r="21" ht="20" customHeight="1">
      <c r="B21" s="65" t="n"/>
      <c r="C21" s="66" t="n"/>
      <c r="D21" s="66" t="n"/>
      <c r="E21" s="66" t="n"/>
      <c r="F21" s="66" t="n"/>
      <c r="G21" s="66" t="n"/>
      <c r="H21" s="66" t="n"/>
      <c r="I21" s="66" t="n"/>
      <c r="J21" s="67">
        <f>IF(B21="","",(D21="No")+(E21="No")+(F21="No")+(G21="No")+(H21="Shared")+(I21="Compromised"))</f>
        <v/>
      </c>
      <c r="K21" s="68">
        <f>IF(B21="","",IF(J21=0,"Done",IF(C21="High","Fix first",IF(C21="Moderate","Fix next",IF(C21="Low","Later","Set category")))))</f>
        <v/>
      </c>
    </row>
    <row r="22" ht="20" customHeight="1">
      <c r="B22" s="65" t="n"/>
      <c r="C22" s="66" t="n"/>
      <c r="D22" s="66" t="n"/>
      <c r="E22" s="66" t="n"/>
      <c r="F22" s="66" t="n"/>
      <c r="G22" s="66" t="n"/>
      <c r="H22" s="66" t="n"/>
      <c r="I22" s="66" t="n"/>
      <c r="J22" s="67">
        <f>IF(B22="","",(D22="No")+(E22="No")+(F22="No")+(G22="No")+(H22="Shared")+(I22="Compromised"))</f>
        <v/>
      </c>
      <c r="K22" s="68">
        <f>IF(B22="","",IF(J22=0,"Done",IF(C22="High","Fix first",IF(C22="Moderate","Fix next",IF(C22="Low","Later","Set category")))))</f>
        <v/>
      </c>
    </row>
    <row r="23" ht="20" customHeight="1">
      <c r="B23" s="65" t="n"/>
      <c r="C23" s="66" t="n"/>
      <c r="D23" s="66" t="n"/>
      <c r="E23" s="66" t="n"/>
      <c r="F23" s="66" t="n"/>
      <c r="G23" s="66" t="n"/>
      <c r="H23" s="66" t="n"/>
      <c r="I23" s="66" t="n"/>
      <c r="J23" s="67">
        <f>IF(B23="","",(D23="No")+(E23="No")+(F23="No")+(G23="No")+(H23="Shared")+(I23="Compromised"))</f>
        <v/>
      </c>
      <c r="K23" s="68">
        <f>IF(B23="","",IF(J23=0,"Done",IF(C23="High","Fix first",IF(C23="Moderate","Fix next",IF(C23="Low","Later","Set category")))))</f>
        <v/>
      </c>
    </row>
    <row r="24" ht="20" customHeight="1">
      <c r="B24" s="65" t="n"/>
      <c r="C24" s="66" t="n"/>
      <c r="D24" s="66" t="n"/>
      <c r="E24" s="66" t="n"/>
      <c r="F24" s="66" t="n"/>
      <c r="G24" s="66" t="n"/>
      <c r="H24" s="66" t="n"/>
      <c r="I24" s="66" t="n"/>
      <c r="J24" s="67">
        <f>IF(B24="","",(D24="No")+(E24="No")+(F24="No")+(G24="No")+(H24="Shared")+(I24="Compromised"))</f>
        <v/>
      </c>
      <c r="K24" s="68">
        <f>IF(B24="","",IF(J24=0,"Done",IF(C24="High","Fix first",IF(C24="Moderate","Fix next",IF(C24="Low","Later","Set category")))))</f>
        <v/>
      </c>
    </row>
    <row r="25" ht="20" customHeight="1">
      <c r="B25" s="65" t="n"/>
      <c r="C25" s="66" t="n"/>
      <c r="D25" s="66" t="n"/>
      <c r="E25" s="66" t="n"/>
      <c r="F25" s="66" t="n"/>
      <c r="G25" s="66" t="n"/>
      <c r="H25" s="66" t="n"/>
      <c r="I25" s="66" t="n"/>
      <c r="J25" s="67">
        <f>IF(B25="","",(D25="No")+(E25="No")+(F25="No")+(G25="No")+(H25="Shared")+(I25="Compromised"))</f>
        <v/>
      </c>
      <c r="K25" s="68">
        <f>IF(B25="","",IF(J25=0,"Done",IF(C25="High","Fix first",IF(C25="Moderate","Fix next",IF(C25="Low","Later","Set category")))))</f>
        <v/>
      </c>
    </row>
    <row r="26" ht="20" customHeight="1">
      <c r="B26" s="65" t="n"/>
      <c r="C26" s="66" t="n"/>
      <c r="D26" s="66" t="n"/>
      <c r="E26" s="66" t="n"/>
      <c r="F26" s="66" t="n"/>
      <c r="G26" s="66" t="n"/>
      <c r="H26" s="66" t="n"/>
      <c r="I26" s="66" t="n"/>
      <c r="J26" s="67">
        <f>IF(B26="","",(D26="No")+(E26="No")+(F26="No")+(G26="No")+(H26="Shared")+(I26="Compromised"))</f>
        <v/>
      </c>
      <c r="K26" s="68">
        <f>IF(B26="","",IF(J26=0,"Done",IF(C26="High","Fix first",IF(C26="Moderate","Fix next",IF(C26="Low","Later","Set category")))))</f>
        <v/>
      </c>
    </row>
    <row r="27" ht="20" customHeight="1">
      <c r="B27" s="65" t="n"/>
      <c r="C27" s="66" t="n"/>
      <c r="D27" s="66" t="n"/>
      <c r="E27" s="66" t="n"/>
      <c r="F27" s="66" t="n"/>
      <c r="G27" s="66" t="n"/>
      <c r="H27" s="66" t="n"/>
      <c r="I27" s="66" t="n"/>
      <c r="J27" s="67">
        <f>IF(B27="","",(D27="No")+(E27="No")+(F27="No")+(G27="No")+(H27="Shared")+(I27="Compromised"))</f>
        <v/>
      </c>
      <c r="K27" s="68">
        <f>IF(B27="","",IF(J27=0,"Done",IF(C27="High","Fix first",IF(C27="Moderate","Fix next",IF(C27="Low","Later","Set category")))))</f>
        <v/>
      </c>
    </row>
    <row r="28" ht="20" customHeight="1">
      <c r="B28" s="65" t="n"/>
      <c r="C28" s="66" t="n"/>
      <c r="D28" s="66" t="n"/>
      <c r="E28" s="66" t="n"/>
      <c r="F28" s="66" t="n"/>
      <c r="G28" s="66" t="n"/>
      <c r="H28" s="66" t="n"/>
      <c r="I28" s="66" t="n"/>
      <c r="J28" s="67">
        <f>IF(B28="","",(D28="No")+(E28="No")+(F28="No")+(G28="No")+(H28="Shared")+(I28="Compromised"))</f>
        <v/>
      </c>
      <c r="K28" s="68">
        <f>IF(B28="","",IF(J28=0,"Done",IF(C28="High","Fix first",IF(C28="Moderate","Fix next",IF(C28="Low","Later","Set category")))))</f>
        <v/>
      </c>
    </row>
    <row r="29" ht="20" customHeight="1">
      <c r="B29" s="65" t="n"/>
      <c r="C29" s="66" t="n"/>
      <c r="D29" s="66" t="n"/>
      <c r="E29" s="66" t="n"/>
      <c r="F29" s="66" t="n"/>
      <c r="G29" s="66" t="n"/>
      <c r="H29" s="66" t="n"/>
      <c r="I29" s="66" t="n"/>
      <c r="J29" s="67">
        <f>IF(B29="","",(D29="No")+(E29="No")+(F29="No")+(G29="No")+(H29="Shared")+(I29="Compromised"))</f>
        <v/>
      </c>
      <c r="K29" s="68">
        <f>IF(B29="","",IF(J29=0,"Done",IF(C29="High","Fix first",IF(C29="Moderate","Fix next",IF(C29="Low","Later","Set category")))))</f>
        <v/>
      </c>
    </row>
    <row r="30" ht="20" customHeight="1">
      <c r="B30" s="65" t="n"/>
      <c r="C30" s="66" t="n"/>
      <c r="D30" s="66" t="n"/>
      <c r="E30" s="66" t="n"/>
      <c r="F30" s="66" t="n"/>
      <c r="G30" s="66" t="n"/>
      <c r="H30" s="66" t="n"/>
      <c r="I30" s="66" t="n"/>
      <c r="J30" s="67">
        <f>IF(B30="","",(D30="No")+(E30="No")+(F30="No")+(G30="No")+(H30="Shared")+(I30="Compromised"))</f>
        <v/>
      </c>
      <c r="K30" s="68">
        <f>IF(B30="","",IF(J30=0,"Done",IF(C30="High","Fix first",IF(C30="Moderate","Fix next",IF(C30="Low","Later","Set category")))))</f>
        <v/>
      </c>
    </row>
    <row r="31" ht="20" customHeight="1">
      <c r="B31" s="65" t="n"/>
      <c r="C31" s="66" t="n"/>
      <c r="D31" s="66" t="n"/>
      <c r="E31" s="66" t="n"/>
      <c r="F31" s="66" t="n"/>
      <c r="G31" s="66" t="n"/>
      <c r="H31" s="66" t="n"/>
      <c r="I31" s="66" t="n"/>
      <c r="J31" s="67">
        <f>IF(B31="","",(D31="No")+(E31="No")+(F31="No")+(G31="No")+(H31="Shared")+(I31="Compromised"))</f>
        <v/>
      </c>
      <c r="K31" s="68">
        <f>IF(B31="","",IF(J31=0,"Done",IF(C31="High","Fix first",IF(C31="Moderate","Fix next",IF(C31="Low","Later","Set category")))))</f>
        <v/>
      </c>
    </row>
    <row r="32" ht="20" customHeight="1">
      <c r="B32" s="65" t="n"/>
      <c r="C32" s="66" t="n"/>
      <c r="D32" s="66" t="n"/>
      <c r="E32" s="66" t="n"/>
      <c r="F32" s="66" t="n"/>
      <c r="G32" s="66" t="n"/>
      <c r="H32" s="66" t="n"/>
      <c r="I32" s="66" t="n"/>
      <c r="J32" s="67">
        <f>IF(B32="","",(D32="No")+(E32="No")+(F32="No")+(G32="No")+(H32="Shared")+(I32="Compromised"))</f>
        <v/>
      </c>
      <c r="K32" s="68">
        <f>IF(B32="","",IF(J32=0,"Done",IF(C32="High","Fix first",IF(C32="Moderate","Fix next",IF(C32="Low","Later","Set category")))))</f>
        <v/>
      </c>
    </row>
    <row r="33" ht="20" customHeight="1">
      <c r="B33" s="65" t="n"/>
      <c r="C33" s="66" t="n"/>
      <c r="D33" s="66" t="n"/>
      <c r="E33" s="66" t="n"/>
      <c r="F33" s="66" t="n"/>
      <c r="G33" s="66" t="n"/>
      <c r="H33" s="66" t="n"/>
      <c r="I33" s="66" t="n"/>
      <c r="J33" s="67">
        <f>IF(B33="","",(D33="No")+(E33="No")+(F33="No")+(G33="No")+(H33="Shared")+(I33="Compromised"))</f>
        <v/>
      </c>
      <c r="K33" s="68">
        <f>IF(B33="","",IF(J33=0,"Done",IF(C33="High","Fix first",IF(C33="Moderate","Fix next",IF(C33="Low","Later","Set category")))))</f>
        <v/>
      </c>
    </row>
    <row r="34" ht="20" customHeight="1">
      <c r="B34" s="65" t="n"/>
      <c r="C34" s="66" t="n"/>
      <c r="D34" s="66" t="n"/>
      <c r="E34" s="66" t="n"/>
      <c r="F34" s="66" t="n"/>
      <c r="G34" s="66" t="n"/>
      <c r="H34" s="66" t="n"/>
      <c r="I34" s="66" t="n"/>
      <c r="J34" s="67">
        <f>IF(B34="","",(D34="No")+(E34="No")+(F34="No")+(G34="No")+(H34="Shared")+(I34="Compromised"))</f>
        <v/>
      </c>
      <c r="K34" s="68">
        <f>IF(B34="","",IF(J34=0,"Done",IF(C34="High","Fix first",IF(C34="Moderate","Fix next",IF(C34="Low","Later","Set category")))))</f>
        <v/>
      </c>
    </row>
    <row r="35" ht="20" customHeight="1">
      <c r="B35" s="65" t="n"/>
      <c r="C35" s="66" t="n"/>
      <c r="D35" s="66" t="n"/>
      <c r="E35" s="66" t="n"/>
      <c r="F35" s="66" t="n"/>
      <c r="G35" s="66" t="n"/>
      <c r="H35" s="66" t="n"/>
      <c r="I35" s="66" t="n"/>
      <c r="J35" s="67">
        <f>IF(B35="","",(D35="No")+(E35="No")+(F35="No")+(G35="No")+(H35="Shared")+(I35="Compromised"))</f>
        <v/>
      </c>
      <c r="K35" s="68">
        <f>IF(B35="","",IF(J35=0,"Done",IF(C35="High","Fix first",IF(C35="Moderate","Fix next",IF(C35="Low","Later","Set category")))))</f>
        <v/>
      </c>
    </row>
    <row r="36" ht="20" customHeight="1">
      <c r="B36" s="65" t="n"/>
      <c r="C36" s="66" t="n"/>
      <c r="D36" s="66" t="n"/>
      <c r="E36" s="66" t="n"/>
      <c r="F36" s="66" t="n"/>
      <c r="G36" s="66" t="n"/>
      <c r="H36" s="66" t="n"/>
      <c r="I36" s="66" t="n"/>
      <c r="J36" s="67">
        <f>IF(B36="","",(D36="No")+(E36="No")+(F36="No")+(G36="No")+(H36="Shared")+(I36="Compromised"))</f>
        <v/>
      </c>
      <c r="K36" s="68">
        <f>IF(B36="","",IF(J36=0,"Done",IF(C36="High","Fix first",IF(C36="Moderate","Fix next",IF(C36="Low","Later","Set category")))))</f>
        <v/>
      </c>
    </row>
    <row r="37" ht="20" customHeight="1">
      <c r="B37" s="65" t="n"/>
      <c r="C37" s="66" t="n"/>
      <c r="D37" s="66" t="n"/>
      <c r="E37" s="66" t="n"/>
      <c r="F37" s="66" t="n"/>
      <c r="G37" s="66" t="n"/>
      <c r="H37" s="66" t="n"/>
      <c r="I37" s="66" t="n"/>
      <c r="J37" s="67">
        <f>IF(B37="","",(D37="No")+(E37="No")+(F37="No")+(G37="No")+(H37="Shared")+(I37="Compromised"))</f>
        <v/>
      </c>
      <c r="K37" s="68">
        <f>IF(B37="","",IF(J37=0,"Done",IF(C37="High","Fix first",IF(C37="Moderate","Fix next",IF(C37="Low","Later","Set category")))))</f>
        <v/>
      </c>
    </row>
    <row r="38" ht="20" customHeight="1">
      <c r="B38" s="65" t="n"/>
      <c r="C38" s="66" t="n"/>
      <c r="D38" s="66" t="n"/>
      <c r="E38" s="66" t="n"/>
      <c r="F38" s="66" t="n"/>
      <c r="G38" s="66" t="n"/>
      <c r="H38" s="66" t="n"/>
      <c r="I38" s="66" t="n"/>
      <c r="J38" s="67">
        <f>IF(B38="","",(D38="No")+(E38="No")+(F38="No")+(G38="No")+(H38="Shared")+(I38="Compromised"))</f>
        <v/>
      </c>
      <c r="K38" s="68">
        <f>IF(B38="","",IF(J38=0,"Done",IF(C38="High","Fix first",IF(C38="Moderate","Fix next",IF(C38="Low","Later","Set category")))))</f>
        <v/>
      </c>
    </row>
    <row r="39" ht="20" customHeight="1">
      <c r="B39" s="65" t="n"/>
      <c r="C39" s="66" t="n"/>
      <c r="D39" s="66" t="n"/>
      <c r="E39" s="66" t="n"/>
      <c r="F39" s="66" t="n"/>
      <c r="G39" s="66" t="n"/>
      <c r="H39" s="66" t="n"/>
      <c r="I39" s="66" t="n"/>
      <c r="J39" s="67">
        <f>IF(B39="","",(D39="No")+(E39="No")+(F39="No")+(G39="No")+(H39="Shared")+(I39="Compromised"))</f>
        <v/>
      </c>
      <c r="K39" s="68">
        <f>IF(B39="","",IF(J39=0,"Done",IF(C39="High","Fix first",IF(C39="Moderate","Fix next",IF(C39="Low","Later","Set category")))))</f>
        <v/>
      </c>
    </row>
    <row r="40" ht="20" customHeight="1">
      <c r="B40" s="65" t="n"/>
      <c r="C40" s="66" t="n"/>
      <c r="D40" s="66" t="n"/>
      <c r="E40" s="66" t="n"/>
      <c r="F40" s="66" t="n"/>
      <c r="G40" s="66" t="n"/>
      <c r="H40" s="66" t="n"/>
      <c r="I40" s="66" t="n"/>
      <c r="J40" s="67">
        <f>IF(B40="","",(D40="No")+(E40="No")+(F40="No")+(G40="No")+(H40="Shared")+(I40="Compromised"))</f>
        <v/>
      </c>
      <c r="K40" s="68">
        <f>IF(B40="","",IF(J40=0,"Done",IF(C40="High","Fix first",IF(C40="Moderate","Fix next",IF(C40="Low","Later","Set category")))))</f>
        <v/>
      </c>
    </row>
    <row r="41" ht="20" customHeight="1">
      <c r="B41" s="65" t="n"/>
      <c r="C41" s="66" t="n"/>
      <c r="D41" s="66" t="n"/>
      <c r="E41" s="66" t="n"/>
      <c r="F41" s="66" t="n"/>
      <c r="G41" s="66" t="n"/>
      <c r="H41" s="66" t="n"/>
      <c r="I41" s="66" t="n"/>
      <c r="J41" s="67">
        <f>IF(B41="","",(D41="No")+(E41="No")+(F41="No")+(G41="No")+(H41="Shared")+(I41="Compromised"))</f>
        <v/>
      </c>
      <c r="K41" s="68">
        <f>IF(B41="","",IF(J41=0,"Done",IF(C41="High","Fix first",IF(C41="Moderate","Fix next",IF(C41="Low","Later","Set category")))))</f>
        <v/>
      </c>
    </row>
    <row r="42" ht="20" customHeight="1">
      <c r="B42" s="65" t="n"/>
      <c r="C42" s="66" t="n"/>
      <c r="D42" s="66" t="n"/>
      <c r="E42" s="66" t="n"/>
      <c r="F42" s="66" t="n"/>
      <c r="G42" s="66" t="n"/>
      <c r="H42" s="66" t="n"/>
      <c r="I42" s="66" t="n"/>
      <c r="J42" s="67">
        <f>IF(B42="","",(D42="No")+(E42="No")+(F42="No")+(G42="No")+(H42="Shared")+(I42="Compromised"))</f>
        <v/>
      </c>
      <c r="K42" s="68">
        <f>IF(B42="","",IF(J42=0,"Done",IF(C42="High","Fix first",IF(C42="Moderate","Fix next",IF(C42="Low","Later","Set category")))))</f>
        <v/>
      </c>
    </row>
    <row r="43" ht="20" customHeight="1">
      <c r="B43" s="65" t="n"/>
      <c r="C43" s="66" t="n"/>
      <c r="D43" s="66" t="n"/>
      <c r="E43" s="66" t="n"/>
      <c r="F43" s="66" t="n"/>
      <c r="G43" s="66" t="n"/>
      <c r="H43" s="66" t="n"/>
      <c r="I43" s="66" t="n"/>
      <c r="J43" s="67">
        <f>IF(B43="","",(D43="No")+(E43="No")+(F43="No")+(G43="No")+(H43="Shared")+(I43="Compromised"))</f>
        <v/>
      </c>
      <c r="K43" s="68">
        <f>IF(B43="","",IF(J43=0,"Done",IF(C43="High","Fix first",IF(C43="Moderate","Fix next",IF(C43="Low","Later","Set category")))))</f>
        <v/>
      </c>
    </row>
    <row r="44" ht="20" customHeight="1">
      <c r="B44" s="65" t="n"/>
      <c r="C44" s="66" t="n"/>
      <c r="D44" s="66" t="n"/>
      <c r="E44" s="66" t="n"/>
      <c r="F44" s="66" t="n"/>
      <c r="G44" s="66" t="n"/>
      <c r="H44" s="66" t="n"/>
      <c r="I44" s="66" t="n"/>
      <c r="J44" s="67">
        <f>IF(B44="","",(D44="No")+(E44="No")+(F44="No")+(G44="No")+(H44="Shared")+(I44="Compromised"))</f>
        <v/>
      </c>
      <c r="K44" s="68">
        <f>IF(B44="","",IF(J44=0,"Done",IF(C44="High","Fix first",IF(C44="Moderate","Fix next",IF(C44="Low","Later","Set category")))))</f>
        <v/>
      </c>
    </row>
    <row r="45" ht="20" customHeight="1">
      <c r="B45" s="65" t="n"/>
      <c r="C45" s="66" t="n"/>
      <c r="D45" s="66" t="n"/>
      <c r="E45" s="66" t="n"/>
      <c r="F45" s="66" t="n"/>
      <c r="G45" s="66" t="n"/>
      <c r="H45" s="66" t="n"/>
      <c r="I45" s="66" t="n"/>
      <c r="J45" s="67">
        <f>IF(B45="","",(D45="No")+(E45="No")+(F45="No")+(G45="No")+(H45="Shared")+(I45="Compromised"))</f>
        <v/>
      </c>
      <c r="K45" s="68">
        <f>IF(B45="","",IF(J45=0,"Done",IF(C45="High","Fix first",IF(C45="Moderate","Fix next",IF(C45="Low","Later","Set category")))))</f>
        <v/>
      </c>
    </row>
    <row r="46" ht="20" customHeight="1">
      <c r="B46" s="65" t="n"/>
      <c r="C46" s="66" t="n"/>
      <c r="D46" s="66" t="n"/>
      <c r="E46" s="66" t="n"/>
      <c r="F46" s="66" t="n"/>
      <c r="G46" s="66" t="n"/>
      <c r="H46" s="66" t="n"/>
      <c r="I46" s="66" t="n"/>
      <c r="J46" s="67">
        <f>IF(B46="","",(D46="No")+(E46="No")+(F46="No")+(G46="No")+(H46="Shared")+(I46="Compromised"))</f>
        <v/>
      </c>
      <c r="K46" s="68">
        <f>IF(B46="","",IF(J46=0,"Done",IF(C46="High","Fix first",IF(C46="Moderate","Fix next",IF(C46="Low","Later","Set category")))))</f>
        <v/>
      </c>
    </row>
    <row r="47" ht="20" customHeight="1">
      <c r="B47" s="65" t="n"/>
      <c r="C47" s="66" t="n"/>
      <c r="D47" s="66" t="n"/>
      <c r="E47" s="66" t="n"/>
      <c r="F47" s="66" t="n"/>
      <c r="G47" s="66" t="n"/>
      <c r="H47" s="66" t="n"/>
      <c r="I47" s="66" t="n"/>
      <c r="J47" s="67">
        <f>IF(B47="","",(D47="No")+(E47="No")+(F47="No")+(G47="No")+(H47="Shared")+(I47="Compromised"))</f>
        <v/>
      </c>
      <c r="K47" s="68">
        <f>IF(B47="","",IF(J47=0,"Done",IF(C47="High","Fix first",IF(C47="Moderate","Fix next",IF(C47="Low","Later","Set category")))))</f>
        <v/>
      </c>
    </row>
    <row r="48" ht="20" customHeight="1">
      <c r="B48" s="65" t="n"/>
      <c r="C48" s="66" t="n"/>
      <c r="D48" s="66" t="n"/>
      <c r="E48" s="66" t="n"/>
      <c r="F48" s="66" t="n"/>
      <c r="G48" s="66" t="n"/>
      <c r="H48" s="66" t="n"/>
      <c r="I48" s="66" t="n"/>
      <c r="J48" s="67">
        <f>IF(B48="","",(D48="No")+(E48="No")+(F48="No")+(G48="No")+(H48="Shared")+(I48="Compromised"))</f>
        <v/>
      </c>
      <c r="K48" s="68">
        <f>IF(B48="","",IF(J48=0,"Done",IF(C48="High","Fix first",IF(C48="Moderate","Fix next",IF(C48="Low","Later","Set category")))))</f>
        <v/>
      </c>
    </row>
    <row r="49" ht="20" customHeight="1">
      <c r="B49" s="65" t="n"/>
      <c r="C49" s="66" t="n"/>
      <c r="D49" s="66" t="n"/>
      <c r="E49" s="66" t="n"/>
      <c r="F49" s="66" t="n"/>
      <c r="G49" s="66" t="n"/>
      <c r="H49" s="66" t="n"/>
      <c r="I49" s="66" t="n"/>
      <c r="J49" s="67">
        <f>IF(B49="","",(D49="No")+(E49="No")+(F49="No")+(G49="No")+(H49="Shared")+(I49="Compromised"))</f>
        <v/>
      </c>
      <c r="K49" s="68">
        <f>IF(B49="","",IF(J49=0,"Done",IF(C49="High","Fix first",IF(C49="Moderate","Fix next",IF(C49="Low","Later","Set category")))))</f>
        <v/>
      </c>
    </row>
    <row r="50" ht="20" customHeight="1">
      <c r="B50" s="65" t="n"/>
      <c r="C50" s="66" t="n"/>
      <c r="D50" s="66" t="n"/>
      <c r="E50" s="66" t="n"/>
      <c r="F50" s="66" t="n"/>
      <c r="G50" s="66" t="n"/>
      <c r="H50" s="66" t="n"/>
      <c r="I50" s="66" t="n"/>
      <c r="J50" s="67">
        <f>IF(B50="","",(D50="No")+(E50="No")+(F50="No")+(G50="No")+(H50="Shared")+(I50="Compromised"))</f>
        <v/>
      </c>
      <c r="K50" s="68">
        <f>IF(B50="","",IF(J50=0,"Done",IF(C50="High","Fix first",IF(C50="Moderate","Fix next",IF(C50="Low","Later","Set category")))))</f>
        <v/>
      </c>
    </row>
    <row r="51" ht="20" customHeight="1">
      <c r="B51" s="65" t="n"/>
      <c r="C51" s="66" t="n"/>
      <c r="D51" s="66" t="n"/>
      <c r="E51" s="66" t="n"/>
      <c r="F51" s="66" t="n"/>
      <c r="G51" s="66" t="n"/>
      <c r="H51" s="66" t="n"/>
      <c r="I51" s="66" t="n"/>
      <c r="J51" s="67">
        <f>IF(B51="","",(D51="No")+(E51="No")+(F51="No")+(G51="No")+(H51="Shared")+(I51="Compromised"))</f>
        <v/>
      </c>
      <c r="K51" s="68">
        <f>IF(B51="","",IF(J51=0,"Done",IF(C51="High","Fix first",IF(C51="Moderate","Fix next",IF(C51="Low","Later","Set category")))))</f>
        <v/>
      </c>
    </row>
    <row r="52" ht="20" customHeight="1">
      <c r="B52" s="65" t="n"/>
      <c r="C52" s="66" t="n"/>
      <c r="D52" s="66" t="n"/>
      <c r="E52" s="66" t="n"/>
      <c r="F52" s="66" t="n"/>
      <c r="G52" s="66" t="n"/>
      <c r="H52" s="66" t="n"/>
      <c r="I52" s="66" t="n"/>
      <c r="J52" s="67">
        <f>IF(B52="","",(D52="No")+(E52="No")+(F52="No")+(G52="No")+(H52="Shared")+(I52="Compromised"))</f>
        <v/>
      </c>
      <c r="K52" s="68">
        <f>IF(B52="","",IF(J52=0,"Done",IF(C52="High","Fix first",IF(C52="Moderate","Fix next",IF(C52="Low","Later","Set category")))))</f>
        <v/>
      </c>
    </row>
    <row r="53" ht="20" customHeight="1">
      <c r="B53" s="65" t="n"/>
      <c r="C53" s="66" t="n"/>
      <c r="D53" s="66" t="n"/>
      <c r="E53" s="66" t="n"/>
      <c r="F53" s="66" t="n"/>
      <c r="G53" s="66" t="n"/>
      <c r="H53" s="66" t="n"/>
      <c r="I53" s="66" t="n"/>
      <c r="J53" s="67">
        <f>IF(B53="","",(D53="No")+(E53="No")+(F53="No")+(G53="No")+(H53="Shared")+(I53="Compromised"))</f>
        <v/>
      </c>
      <c r="K53" s="68">
        <f>IF(B53="","",IF(J53=0,"Done",IF(C53="High","Fix first",IF(C53="Moderate","Fix next",IF(C53="Low","Later","Set category")))))</f>
        <v/>
      </c>
    </row>
    <row r="54" ht="20" customHeight="1">
      <c r="B54" s="65" t="n"/>
      <c r="C54" s="66" t="n"/>
      <c r="D54" s="66" t="n"/>
      <c r="E54" s="66" t="n"/>
      <c r="F54" s="66" t="n"/>
      <c r="G54" s="66" t="n"/>
      <c r="H54" s="66" t="n"/>
      <c r="I54" s="66" t="n"/>
      <c r="J54" s="67">
        <f>IF(B54="","",(D54="No")+(E54="No")+(F54="No")+(G54="No")+(H54="Shared")+(I54="Compromised"))</f>
        <v/>
      </c>
      <c r="K54" s="68">
        <f>IF(B54="","",IF(J54=0,"Done",IF(C54="High","Fix first",IF(C54="Moderate","Fix next",IF(C54="Low","Later","Set category")))))</f>
        <v/>
      </c>
    </row>
    <row r="55" ht="20" customHeight="1">
      <c r="B55" s="65" t="n"/>
      <c r="C55" s="66" t="n"/>
      <c r="D55" s="66" t="n"/>
      <c r="E55" s="66" t="n"/>
      <c r="F55" s="66" t="n"/>
      <c r="G55" s="66" t="n"/>
      <c r="H55" s="66" t="n"/>
      <c r="I55" s="66" t="n"/>
      <c r="J55" s="67">
        <f>IF(B55="","",(D55="No")+(E55="No")+(F55="No")+(G55="No")+(H55="Shared")+(I55="Compromised"))</f>
        <v/>
      </c>
      <c r="K55" s="68">
        <f>IF(B55="","",IF(J55=0,"Done",IF(C55="High","Fix first",IF(C55="Moderate","Fix next",IF(C55="Low","Later","Set category")))))</f>
        <v/>
      </c>
    </row>
    <row r="56" ht="20" customHeight="1">
      <c r="B56" s="65" t="n"/>
      <c r="C56" s="66" t="n"/>
      <c r="D56" s="66" t="n"/>
      <c r="E56" s="66" t="n"/>
      <c r="F56" s="66" t="n"/>
      <c r="G56" s="66" t="n"/>
      <c r="H56" s="66" t="n"/>
      <c r="I56" s="66" t="n"/>
      <c r="J56" s="67">
        <f>IF(B56="","",(D56="No")+(E56="No")+(F56="No")+(G56="No")+(H56="Shared")+(I56="Compromised"))</f>
        <v/>
      </c>
      <c r="K56" s="68">
        <f>IF(B56="","",IF(J56=0,"Done",IF(C56="High","Fix first",IF(C56="Moderate","Fix next",IF(C56="Low","Later","Set category")))))</f>
        <v/>
      </c>
    </row>
    <row r="57" ht="20" customHeight="1">
      <c r="B57" s="65" t="n"/>
      <c r="C57" s="66" t="n"/>
      <c r="D57" s="66" t="n"/>
      <c r="E57" s="66" t="n"/>
      <c r="F57" s="66" t="n"/>
      <c r="G57" s="66" t="n"/>
      <c r="H57" s="66" t="n"/>
      <c r="I57" s="66" t="n"/>
      <c r="J57" s="67">
        <f>IF(B57="","",(D57="No")+(E57="No")+(F57="No")+(G57="No")+(H57="Shared")+(I57="Compromised"))</f>
        <v/>
      </c>
      <c r="K57" s="68">
        <f>IF(B57="","",IF(J57=0,"Done",IF(C57="High","Fix first",IF(C57="Moderate","Fix next",IF(C57="Low","Later","Set category")))))</f>
        <v/>
      </c>
    </row>
    <row r="58" ht="20" customHeight="1">
      <c r="B58" s="65" t="n"/>
      <c r="C58" s="66" t="n"/>
      <c r="D58" s="66" t="n"/>
      <c r="E58" s="66" t="n"/>
      <c r="F58" s="66" t="n"/>
      <c r="G58" s="66" t="n"/>
      <c r="H58" s="66" t="n"/>
      <c r="I58" s="66" t="n"/>
      <c r="J58" s="67">
        <f>IF(B58="","",(D58="No")+(E58="No")+(F58="No")+(G58="No")+(H58="Shared")+(I58="Compromised"))</f>
        <v/>
      </c>
      <c r="K58" s="68">
        <f>IF(B58="","",IF(J58=0,"Done",IF(C58="High","Fix first",IF(C58="Moderate","Fix next",IF(C58="Low","Later","Set category")))))</f>
        <v/>
      </c>
    </row>
    <row r="59" ht="20" customHeight="1">
      <c r="B59" s="65" t="n"/>
      <c r="C59" s="66" t="n"/>
      <c r="D59" s="66" t="n"/>
      <c r="E59" s="66" t="n"/>
      <c r="F59" s="66" t="n"/>
      <c r="G59" s="66" t="n"/>
      <c r="H59" s="66" t="n"/>
      <c r="I59" s="66" t="n"/>
      <c r="J59" s="67">
        <f>IF(B59="","",(D59="No")+(E59="No")+(F59="No")+(G59="No")+(H59="Shared")+(I59="Compromised"))</f>
        <v/>
      </c>
      <c r="K59" s="68">
        <f>IF(B59="","",IF(J59=0,"Done",IF(C59="High","Fix first",IF(C59="Moderate","Fix next",IF(C59="Low","Later","Set category")))))</f>
        <v/>
      </c>
    </row>
    <row r="60" ht="20" customHeight="1">
      <c r="B60" s="65" t="n"/>
      <c r="C60" s="66" t="n"/>
      <c r="D60" s="66" t="n"/>
      <c r="E60" s="66" t="n"/>
      <c r="F60" s="66" t="n"/>
      <c r="G60" s="66" t="n"/>
      <c r="H60" s="66" t="n"/>
      <c r="I60" s="66" t="n"/>
      <c r="J60" s="67">
        <f>IF(B60="","",(D60="No")+(E60="No")+(F60="No")+(G60="No")+(H60="Shared")+(I60="Compromised"))</f>
        <v/>
      </c>
      <c r="K60" s="68">
        <f>IF(B60="","",IF(J60=0,"Done",IF(C60="High","Fix first",IF(C60="Moderate","Fix next",IF(C60="Low","Later","Set category")))))</f>
        <v/>
      </c>
    </row>
    <row r="61" ht="20" customHeight="1">
      <c r="B61" s="65" t="n"/>
      <c r="C61" s="66" t="n"/>
      <c r="D61" s="66" t="n"/>
      <c r="E61" s="66" t="n"/>
      <c r="F61" s="66" t="n"/>
      <c r="G61" s="66" t="n"/>
      <c r="H61" s="66" t="n"/>
      <c r="I61" s="66" t="n"/>
      <c r="J61" s="67">
        <f>IF(B61="","",(D61="No")+(E61="No")+(F61="No")+(G61="No")+(H61="Shared")+(I61="Compromised"))</f>
        <v/>
      </c>
      <c r="K61" s="68">
        <f>IF(B61="","",IF(J61=0,"Done",IF(C61="High","Fix first",IF(C61="Moderate","Fix next",IF(C61="Low","Later","Set category")))))</f>
        <v/>
      </c>
    </row>
    <row r="62" ht="20" customHeight="1">
      <c r="B62" s="65" t="n"/>
      <c r="C62" s="66" t="n"/>
      <c r="D62" s="66" t="n"/>
      <c r="E62" s="66" t="n"/>
      <c r="F62" s="66" t="n"/>
      <c r="G62" s="66" t="n"/>
      <c r="H62" s="66" t="n"/>
      <c r="I62" s="66" t="n"/>
      <c r="J62" s="67">
        <f>IF(B62="","",(D62="No")+(E62="No")+(F62="No")+(G62="No")+(H62="Shared")+(I62="Compromised"))</f>
        <v/>
      </c>
      <c r="K62" s="68">
        <f>IF(B62="","",IF(J62=0,"Done",IF(C62="High","Fix first",IF(C62="Moderate","Fix next",IF(C62="Low","Later","Set category")))))</f>
        <v/>
      </c>
    </row>
    <row r="63" ht="20" customHeight="1">
      <c r="B63" s="65" t="n"/>
      <c r="C63" s="66" t="n"/>
      <c r="D63" s="66" t="n"/>
      <c r="E63" s="66" t="n"/>
      <c r="F63" s="66" t="n"/>
      <c r="G63" s="66" t="n"/>
      <c r="H63" s="66" t="n"/>
      <c r="I63" s="66" t="n"/>
      <c r="J63" s="67">
        <f>IF(B63="","",(D63="No")+(E63="No")+(F63="No")+(G63="No")+(H63="Shared")+(I63="Compromised"))</f>
        <v/>
      </c>
      <c r="K63" s="68">
        <f>IF(B63="","",IF(J63=0,"Done",IF(C63="High","Fix first",IF(C63="Moderate","Fix next",IF(C63="Low","Later","Set category")))))</f>
        <v/>
      </c>
    </row>
    <row r="64" ht="20" customHeight="1">
      <c r="B64" s="65" t="n"/>
      <c r="C64" s="66" t="n"/>
      <c r="D64" s="66" t="n"/>
      <c r="E64" s="66" t="n"/>
      <c r="F64" s="66" t="n"/>
      <c r="G64" s="66" t="n"/>
      <c r="H64" s="66" t="n"/>
      <c r="I64" s="66" t="n"/>
      <c r="J64" s="67">
        <f>IF(B64="","",(D64="No")+(E64="No")+(F64="No")+(G64="No")+(H64="Shared")+(I64="Compromised"))</f>
        <v/>
      </c>
      <c r="K64" s="68">
        <f>IF(B64="","",IF(J64=0,"Done",IF(C64="High","Fix first",IF(C64="Moderate","Fix next",IF(C64="Low","Later","Set category")))))</f>
        <v/>
      </c>
    </row>
    <row r="65" ht="20" customHeight="1">
      <c r="B65" s="65" t="n"/>
      <c r="C65" s="66" t="n"/>
      <c r="D65" s="66" t="n"/>
      <c r="E65" s="66" t="n"/>
      <c r="F65" s="66" t="n"/>
      <c r="G65" s="66" t="n"/>
      <c r="H65" s="66" t="n"/>
      <c r="I65" s="66" t="n"/>
      <c r="J65" s="67">
        <f>IF(B65="","",(D65="No")+(E65="No")+(F65="No")+(G65="No")+(H65="Shared")+(I65="Compromised"))</f>
        <v/>
      </c>
      <c r="K65" s="68">
        <f>IF(B65="","",IF(J65=0,"Done",IF(C65="High","Fix first",IF(C65="Moderate","Fix next",IF(C65="Low","Later","Set category")))))</f>
        <v/>
      </c>
    </row>
    <row r="66" ht="20" customHeight="1">
      <c r="B66" s="65" t="n"/>
      <c r="C66" s="66" t="n"/>
      <c r="D66" s="66" t="n"/>
      <c r="E66" s="66" t="n"/>
      <c r="F66" s="66" t="n"/>
      <c r="G66" s="66" t="n"/>
      <c r="H66" s="66" t="n"/>
      <c r="I66" s="66" t="n"/>
      <c r="J66" s="67">
        <f>IF(B66="","",(D66="No")+(E66="No")+(F66="No")+(G66="No")+(H66="Shared")+(I66="Compromised"))</f>
        <v/>
      </c>
      <c r="K66" s="68">
        <f>IF(B66="","",IF(J66=0,"Done",IF(C66="High","Fix first",IF(C66="Moderate","Fix next",IF(C66="Low","Later","Set category")))))</f>
        <v/>
      </c>
    </row>
    <row r="67" ht="20" customHeight="1">
      <c r="B67" s="65" t="n"/>
      <c r="C67" s="66" t="n"/>
      <c r="D67" s="66" t="n"/>
      <c r="E67" s="66" t="n"/>
      <c r="F67" s="66" t="n"/>
      <c r="G67" s="66" t="n"/>
      <c r="H67" s="66" t="n"/>
      <c r="I67" s="66" t="n"/>
      <c r="J67" s="67">
        <f>IF(B67="","",(D67="No")+(E67="No")+(F67="No")+(G67="No")+(H67="Shared")+(I67="Compromised"))</f>
        <v/>
      </c>
      <c r="K67" s="68">
        <f>IF(B67="","",IF(J67=0,"Done",IF(C67="High","Fix first",IF(C67="Moderate","Fix next",IF(C67="Low","Later","Set category")))))</f>
        <v/>
      </c>
    </row>
    <row r="68" ht="20" customHeight="1">
      <c r="B68" s="65" t="n"/>
      <c r="C68" s="66" t="n"/>
      <c r="D68" s="66" t="n"/>
      <c r="E68" s="66" t="n"/>
      <c r="F68" s="66" t="n"/>
      <c r="G68" s="66" t="n"/>
      <c r="H68" s="66" t="n"/>
      <c r="I68" s="66" t="n"/>
      <c r="J68" s="67">
        <f>IF(B68="","",(D68="No")+(E68="No")+(F68="No")+(G68="No")+(H68="Shared")+(I68="Compromised"))</f>
        <v/>
      </c>
      <c r="K68" s="68">
        <f>IF(B68="","",IF(J68=0,"Done",IF(C68="High","Fix first",IF(C68="Moderate","Fix next",IF(C68="Low","Later","Set category")))))</f>
        <v/>
      </c>
    </row>
    <row r="69" ht="20" customHeight="1">
      <c r="B69" s="65" t="n"/>
      <c r="C69" s="66" t="n"/>
      <c r="D69" s="66" t="n"/>
      <c r="E69" s="66" t="n"/>
      <c r="F69" s="66" t="n"/>
      <c r="G69" s="66" t="n"/>
      <c r="H69" s="66" t="n"/>
      <c r="I69" s="66" t="n"/>
      <c r="J69" s="67">
        <f>IF(B69="","",(D69="No")+(E69="No")+(F69="No")+(G69="No")+(H69="Shared")+(I69="Compromised"))</f>
        <v/>
      </c>
      <c r="K69" s="68">
        <f>IF(B69="","",IF(J69=0,"Done",IF(C69="High","Fix first",IF(C69="Moderate","Fix next",IF(C69="Low","Later","Set category")))))</f>
        <v/>
      </c>
    </row>
    <row r="70" ht="20" customHeight="1">
      <c r="B70" s="65" t="n"/>
      <c r="C70" s="66" t="n"/>
      <c r="D70" s="66" t="n"/>
      <c r="E70" s="66" t="n"/>
      <c r="F70" s="66" t="n"/>
      <c r="G70" s="66" t="n"/>
      <c r="H70" s="66" t="n"/>
      <c r="I70" s="66" t="n"/>
      <c r="J70" s="67">
        <f>IF(B70="","",(D70="No")+(E70="No")+(F70="No")+(G70="No")+(H70="Shared")+(I70="Compromised"))</f>
        <v/>
      </c>
      <c r="K70" s="68">
        <f>IF(B70="","",IF(J70=0,"Done",IF(C70="High","Fix first",IF(C70="Moderate","Fix next",IF(C70="Low","Later","Set category")))))</f>
        <v/>
      </c>
    </row>
    <row r="71" ht="20" customHeight="1">
      <c r="B71" s="65" t="n"/>
      <c r="C71" s="66" t="n"/>
      <c r="D71" s="66" t="n"/>
      <c r="E71" s="66" t="n"/>
      <c r="F71" s="66" t="n"/>
      <c r="G71" s="66" t="n"/>
      <c r="H71" s="66" t="n"/>
      <c r="I71" s="66" t="n"/>
      <c r="J71" s="67">
        <f>IF(B71="","",(D71="No")+(E71="No")+(F71="No")+(G71="No")+(H71="Shared")+(I71="Compromised"))</f>
        <v/>
      </c>
      <c r="K71" s="68">
        <f>IF(B71="","",IF(J71=0,"Done",IF(C71="High","Fix first",IF(C71="Moderate","Fix next",IF(C71="Low","Later","Set category")))))</f>
        <v/>
      </c>
    </row>
    <row r="72" ht="20" customHeight="1">
      <c r="B72" s="65" t="n"/>
      <c r="C72" s="66" t="n"/>
      <c r="D72" s="66" t="n"/>
      <c r="E72" s="66" t="n"/>
      <c r="F72" s="66" t="n"/>
      <c r="G72" s="66" t="n"/>
      <c r="H72" s="66" t="n"/>
      <c r="I72" s="66" t="n"/>
      <c r="J72" s="67">
        <f>IF(B72="","",(D72="No")+(E72="No")+(F72="No")+(G72="No")+(H72="Shared")+(I72="Compromised"))</f>
        <v/>
      </c>
      <c r="K72" s="68">
        <f>IF(B72="","",IF(J72=0,"Done",IF(C72="High","Fix first",IF(C72="Moderate","Fix next",IF(C72="Low","Later","Set category")))))</f>
        <v/>
      </c>
    </row>
    <row r="73" ht="20" customHeight="1">
      <c r="B73" s="65" t="n"/>
      <c r="C73" s="66" t="n"/>
      <c r="D73" s="66" t="n"/>
      <c r="E73" s="66" t="n"/>
      <c r="F73" s="66" t="n"/>
      <c r="G73" s="66" t="n"/>
      <c r="H73" s="66" t="n"/>
      <c r="I73" s="66" t="n"/>
      <c r="J73" s="67">
        <f>IF(B73="","",(D73="No")+(E73="No")+(F73="No")+(G73="No")+(H73="Shared")+(I73="Compromised"))</f>
        <v/>
      </c>
      <c r="K73" s="68">
        <f>IF(B73="","",IF(J73=0,"Done",IF(C73="High","Fix first",IF(C73="Moderate","Fix next",IF(C73="Low","Later","Set category")))))</f>
        <v/>
      </c>
    </row>
    <row r="74" ht="20" customHeight="1">
      <c r="B74" s="65" t="n"/>
      <c r="C74" s="66" t="n"/>
      <c r="D74" s="66" t="n"/>
      <c r="E74" s="66" t="n"/>
      <c r="F74" s="66" t="n"/>
      <c r="G74" s="66" t="n"/>
      <c r="H74" s="66" t="n"/>
      <c r="I74" s="66" t="n"/>
      <c r="J74" s="67">
        <f>IF(B74="","",(D74="No")+(E74="No")+(F74="No")+(G74="No")+(H74="Shared")+(I74="Compromised"))</f>
        <v/>
      </c>
      <c r="K74" s="68">
        <f>IF(B74="","",IF(J74=0,"Done",IF(C74="High","Fix first",IF(C74="Moderate","Fix next",IF(C74="Low","Later","Set category")))))</f>
        <v/>
      </c>
    </row>
    <row r="75" ht="20" customHeight="1">
      <c r="B75" s="65" t="n"/>
      <c r="C75" s="66" t="n"/>
      <c r="D75" s="66" t="n"/>
      <c r="E75" s="66" t="n"/>
      <c r="F75" s="66" t="n"/>
      <c r="G75" s="66" t="n"/>
      <c r="H75" s="66" t="n"/>
      <c r="I75" s="66" t="n"/>
      <c r="J75" s="67">
        <f>IF(B75="","",(D75="No")+(E75="No")+(F75="No")+(G75="No")+(H75="Shared")+(I75="Compromised"))</f>
        <v/>
      </c>
      <c r="K75" s="68">
        <f>IF(B75="","",IF(J75=0,"Done",IF(C75="High","Fix first",IF(C75="Moderate","Fix next",IF(C75="Low","Later","Set category")))))</f>
        <v/>
      </c>
    </row>
    <row r="76" ht="20" customHeight="1">
      <c r="B76" s="65" t="n"/>
      <c r="C76" s="66" t="n"/>
      <c r="D76" s="66" t="n"/>
      <c r="E76" s="66" t="n"/>
      <c r="F76" s="66" t="n"/>
      <c r="G76" s="66" t="n"/>
      <c r="H76" s="66" t="n"/>
      <c r="I76" s="66" t="n"/>
      <c r="J76" s="67">
        <f>IF(B76="","",(D76="No")+(E76="No")+(F76="No")+(G76="No")+(H76="Shared")+(I76="Compromised"))</f>
        <v/>
      </c>
      <c r="K76" s="68">
        <f>IF(B76="","",IF(J76=0,"Done",IF(C76="High","Fix first",IF(C76="Moderate","Fix next",IF(C76="Low","Later","Set category")))))</f>
        <v/>
      </c>
    </row>
    <row r="77" ht="20" customHeight="1">
      <c r="B77" s="65" t="n"/>
      <c r="C77" s="66" t="n"/>
      <c r="D77" s="66" t="n"/>
      <c r="E77" s="66" t="n"/>
      <c r="F77" s="66" t="n"/>
      <c r="G77" s="66" t="n"/>
      <c r="H77" s="66" t="n"/>
      <c r="I77" s="66" t="n"/>
      <c r="J77" s="67">
        <f>IF(B77="","",(D77="No")+(E77="No")+(F77="No")+(G77="No")+(H77="Shared")+(I77="Compromised"))</f>
        <v/>
      </c>
      <c r="K77" s="68">
        <f>IF(B77="","",IF(J77=0,"Done",IF(C77="High","Fix first",IF(C77="Moderate","Fix next",IF(C77="Low","Later","Set category")))))</f>
        <v/>
      </c>
    </row>
    <row r="78" ht="20" customHeight="1">
      <c r="B78" s="65" t="n"/>
      <c r="C78" s="66" t="n"/>
      <c r="D78" s="66" t="n"/>
      <c r="E78" s="66" t="n"/>
      <c r="F78" s="66" t="n"/>
      <c r="G78" s="66" t="n"/>
      <c r="H78" s="66" t="n"/>
      <c r="I78" s="66" t="n"/>
      <c r="J78" s="67">
        <f>IF(B78="","",(D78="No")+(E78="No")+(F78="No")+(G78="No")+(H78="Shared")+(I78="Compromised"))</f>
        <v/>
      </c>
      <c r="K78" s="68">
        <f>IF(B78="","",IF(J78=0,"Done",IF(C78="High","Fix first",IF(C78="Moderate","Fix next",IF(C78="Low","Later","Set category")))))</f>
        <v/>
      </c>
    </row>
    <row r="79" ht="20" customHeight="1">
      <c r="B79" s="65" t="n"/>
      <c r="C79" s="66" t="n"/>
      <c r="D79" s="66" t="n"/>
      <c r="E79" s="66" t="n"/>
      <c r="F79" s="66" t="n"/>
      <c r="G79" s="66" t="n"/>
      <c r="H79" s="66" t="n"/>
      <c r="I79" s="66" t="n"/>
      <c r="J79" s="67">
        <f>IF(B79="","",(D79="No")+(E79="No")+(F79="No")+(G79="No")+(H79="Shared")+(I79="Compromised"))</f>
        <v/>
      </c>
      <c r="K79" s="68">
        <f>IF(B79="","",IF(J79=0,"Done",IF(C79="High","Fix first",IF(C79="Moderate","Fix next",IF(C79="Low","Later","Set category")))))</f>
        <v/>
      </c>
    </row>
    <row r="80" ht="20" customHeight="1">
      <c r="B80" s="65" t="n"/>
      <c r="C80" s="66" t="n"/>
      <c r="D80" s="66" t="n"/>
      <c r="E80" s="66" t="n"/>
      <c r="F80" s="66" t="n"/>
      <c r="G80" s="66" t="n"/>
      <c r="H80" s="66" t="n"/>
      <c r="I80" s="66" t="n"/>
      <c r="J80" s="67">
        <f>IF(B80="","",(D80="No")+(E80="No")+(F80="No")+(G80="No")+(H80="Shared")+(I80="Compromised"))</f>
        <v/>
      </c>
      <c r="K80" s="68">
        <f>IF(B80="","",IF(J80=0,"Done",IF(C80="High","Fix first",IF(C80="Moderate","Fix next",IF(C80="Low","Later","Set category")))))</f>
        <v/>
      </c>
    </row>
    <row r="81" ht="20" customHeight="1">
      <c r="B81" s="65" t="n"/>
      <c r="C81" s="66" t="n"/>
      <c r="D81" s="66" t="n"/>
      <c r="E81" s="66" t="n"/>
      <c r="F81" s="66" t="n"/>
      <c r="G81" s="66" t="n"/>
      <c r="H81" s="66" t="n"/>
      <c r="I81" s="66" t="n"/>
      <c r="J81" s="67">
        <f>IF(B81="","",(D81="No")+(E81="No")+(F81="No")+(G81="No")+(H81="Shared")+(I81="Compromised"))</f>
        <v/>
      </c>
      <c r="K81" s="68">
        <f>IF(B81="","",IF(J81=0,"Done",IF(C81="High","Fix first",IF(C81="Moderate","Fix next",IF(C81="Low","Later","Set category")))))</f>
        <v/>
      </c>
    </row>
    <row r="82" ht="20" customHeight="1">
      <c r="B82" s="65" t="n"/>
      <c r="C82" s="66" t="n"/>
      <c r="D82" s="66" t="n"/>
      <c r="E82" s="66" t="n"/>
      <c r="F82" s="66" t="n"/>
      <c r="G82" s="66" t="n"/>
      <c r="H82" s="66" t="n"/>
      <c r="I82" s="66" t="n"/>
      <c r="J82" s="67">
        <f>IF(B82="","",(D82="No")+(E82="No")+(F82="No")+(G82="No")+(H82="Shared")+(I82="Compromised"))</f>
        <v/>
      </c>
      <c r="K82" s="68">
        <f>IF(B82="","",IF(J82=0,"Done",IF(C82="High","Fix first",IF(C82="Moderate","Fix next",IF(C82="Low","Later","Set category")))))</f>
        <v/>
      </c>
    </row>
    <row r="83" ht="20" customHeight="1">
      <c r="B83" s="65" t="n"/>
      <c r="C83" s="66" t="n"/>
      <c r="D83" s="66" t="n"/>
      <c r="E83" s="66" t="n"/>
      <c r="F83" s="66" t="n"/>
      <c r="G83" s="66" t="n"/>
      <c r="H83" s="66" t="n"/>
      <c r="I83" s="66" t="n"/>
      <c r="J83" s="67">
        <f>IF(B83="","",(D83="No")+(E83="No")+(F83="No")+(G83="No")+(H83="Shared")+(I83="Compromised"))</f>
        <v/>
      </c>
      <c r="K83" s="68">
        <f>IF(B83="","",IF(J83=0,"Done",IF(C83="High","Fix first",IF(C83="Moderate","Fix next",IF(C83="Low","Later","Set category")))))</f>
        <v/>
      </c>
    </row>
    <row r="84" ht="20" customHeight="1">
      <c r="B84" s="65" t="n"/>
      <c r="C84" s="66" t="n"/>
      <c r="D84" s="66" t="n"/>
      <c r="E84" s="66" t="n"/>
      <c r="F84" s="66" t="n"/>
      <c r="G84" s="66" t="n"/>
      <c r="H84" s="66" t="n"/>
      <c r="I84" s="66" t="n"/>
      <c r="J84" s="67">
        <f>IF(B84="","",(D84="No")+(E84="No")+(F84="No")+(G84="No")+(H84="Shared")+(I84="Compromised"))</f>
        <v/>
      </c>
      <c r="K84" s="68">
        <f>IF(B84="","",IF(J84=0,"Done",IF(C84="High","Fix first",IF(C84="Moderate","Fix next",IF(C84="Low","Later","Set category")))))</f>
        <v/>
      </c>
    </row>
    <row r="85" ht="20" customHeight="1">
      <c r="B85" s="65" t="n"/>
      <c r="C85" s="66" t="n"/>
      <c r="D85" s="66" t="n"/>
      <c r="E85" s="66" t="n"/>
      <c r="F85" s="66" t="n"/>
      <c r="G85" s="66" t="n"/>
      <c r="H85" s="66" t="n"/>
      <c r="I85" s="66" t="n"/>
      <c r="J85" s="67">
        <f>IF(B85="","",(D85="No")+(E85="No")+(F85="No")+(G85="No")+(H85="Shared")+(I85="Compromised"))</f>
        <v/>
      </c>
      <c r="K85" s="68">
        <f>IF(B85="","",IF(J85=0,"Done",IF(C85="High","Fix first",IF(C85="Moderate","Fix next",IF(C85="Low","Later","Set category")))))</f>
        <v/>
      </c>
    </row>
    <row r="86" ht="20" customHeight="1">
      <c r="B86" s="65" t="n"/>
      <c r="C86" s="66" t="n"/>
      <c r="D86" s="66" t="n"/>
      <c r="E86" s="66" t="n"/>
      <c r="F86" s="66" t="n"/>
      <c r="G86" s="66" t="n"/>
      <c r="H86" s="66" t="n"/>
      <c r="I86" s="66" t="n"/>
      <c r="J86" s="67">
        <f>IF(B86="","",(D86="No")+(E86="No")+(F86="No")+(G86="No")+(H86="Shared")+(I86="Compromised"))</f>
        <v/>
      </c>
      <c r="K86" s="68">
        <f>IF(B86="","",IF(J86=0,"Done",IF(C86="High","Fix first",IF(C86="Moderate","Fix next",IF(C86="Low","Later","Set category")))))</f>
        <v/>
      </c>
    </row>
    <row r="87" ht="20" customHeight="1">
      <c r="B87" s="65" t="n"/>
      <c r="C87" s="66" t="n"/>
      <c r="D87" s="66" t="n"/>
      <c r="E87" s="66" t="n"/>
      <c r="F87" s="66" t="n"/>
      <c r="G87" s="66" t="n"/>
      <c r="H87" s="66" t="n"/>
      <c r="I87" s="66" t="n"/>
      <c r="J87" s="67">
        <f>IF(B87="","",(D87="No")+(E87="No")+(F87="No")+(G87="No")+(H87="Shared")+(I87="Compromised"))</f>
        <v/>
      </c>
      <c r="K87" s="68">
        <f>IF(B87="","",IF(J87=0,"Done",IF(C87="High","Fix first",IF(C87="Moderate","Fix next",IF(C87="Low","Later","Set category")))))</f>
        <v/>
      </c>
    </row>
    <row r="88" ht="20" customHeight="1">
      <c r="B88" s="65" t="n"/>
      <c r="C88" s="66" t="n"/>
      <c r="D88" s="66" t="n"/>
      <c r="E88" s="66" t="n"/>
      <c r="F88" s="66" t="n"/>
      <c r="G88" s="66" t="n"/>
      <c r="H88" s="66" t="n"/>
      <c r="I88" s="66" t="n"/>
      <c r="J88" s="67">
        <f>IF(B88="","",(D88="No")+(E88="No")+(F88="No")+(G88="No")+(H88="Shared")+(I88="Compromised"))</f>
        <v/>
      </c>
      <c r="K88" s="68">
        <f>IF(B88="","",IF(J88=0,"Done",IF(C88="High","Fix first",IF(C88="Moderate","Fix next",IF(C88="Low","Later","Set category")))))</f>
        <v/>
      </c>
    </row>
    <row r="89" ht="20" customHeight="1">
      <c r="B89" s="65" t="n"/>
      <c r="C89" s="66" t="n"/>
      <c r="D89" s="66" t="n"/>
      <c r="E89" s="66" t="n"/>
      <c r="F89" s="66" t="n"/>
      <c r="G89" s="66" t="n"/>
      <c r="H89" s="66" t="n"/>
      <c r="I89" s="66" t="n"/>
      <c r="J89" s="67">
        <f>IF(B89="","",(D89="No")+(E89="No")+(F89="No")+(G89="No")+(H89="Shared")+(I89="Compromised"))</f>
        <v/>
      </c>
      <c r="K89" s="68">
        <f>IF(B89="","",IF(J89=0,"Done",IF(C89="High","Fix first",IF(C89="Moderate","Fix next",IF(C89="Low","Later","Set category")))))</f>
        <v/>
      </c>
    </row>
    <row r="90" ht="20" customHeight="1">
      <c r="B90" s="65" t="n"/>
      <c r="C90" s="66" t="n"/>
      <c r="D90" s="66" t="n"/>
      <c r="E90" s="66" t="n"/>
      <c r="F90" s="66" t="n"/>
      <c r="G90" s="66" t="n"/>
      <c r="H90" s="66" t="n"/>
      <c r="I90" s="66" t="n"/>
      <c r="J90" s="67">
        <f>IF(B90="","",(D90="No")+(E90="No")+(F90="No")+(G90="No")+(H90="Shared")+(I90="Compromised"))</f>
        <v/>
      </c>
      <c r="K90" s="68">
        <f>IF(B90="","",IF(J90=0,"Done",IF(C90="High","Fix first",IF(C90="Moderate","Fix next",IF(C90="Low","Later","Set category")))))</f>
        <v/>
      </c>
    </row>
    <row r="91" ht="20" customHeight="1">
      <c r="B91" s="65" t="n"/>
      <c r="C91" s="66" t="n"/>
      <c r="D91" s="66" t="n"/>
      <c r="E91" s="66" t="n"/>
      <c r="F91" s="66" t="n"/>
      <c r="G91" s="66" t="n"/>
      <c r="H91" s="66" t="n"/>
      <c r="I91" s="66" t="n"/>
      <c r="J91" s="67">
        <f>IF(B91="","",(D91="No")+(E91="No")+(F91="No")+(G91="No")+(H91="Shared")+(I91="Compromised"))</f>
        <v/>
      </c>
      <c r="K91" s="68">
        <f>IF(B91="","",IF(J91=0,"Done",IF(C91="High","Fix first",IF(C91="Moderate","Fix next",IF(C91="Low","Later","Set category")))))</f>
        <v/>
      </c>
    </row>
    <row r="92" ht="20" customHeight="1">
      <c r="B92" s="65" t="n"/>
      <c r="C92" s="66" t="n"/>
      <c r="D92" s="66" t="n"/>
      <c r="E92" s="66" t="n"/>
      <c r="F92" s="66" t="n"/>
      <c r="G92" s="66" t="n"/>
      <c r="H92" s="66" t="n"/>
      <c r="I92" s="66" t="n"/>
      <c r="J92" s="67">
        <f>IF(B92="","",(D92="No")+(E92="No")+(F92="No")+(G92="No")+(H92="Shared")+(I92="Compromised"))</f>
        <v/>
      </c>
      <c r="K92" s="68">
        <f>IF(B92="","",IF(J92=0,"Done",IF(C92="High","Fix first",IF(C92="Moderate","Fix next",IF(C92="Low","Later","Set category")))))</f>
        <v/>
      </c>
    </row>
    <row r="93" ht="20" customHeight="1">
      <c r="B93" s="65" t="n"/>
      <c r="C93" s="66" t="n"/>
      <c r="D93" s="66" t="n"/>
      <c r="E93" s="66" t="n"/>
      <c r="F93" s="66" t="n"/>
      <c r="G93" s="66" t="n"/>
      <c r="H93" s="66" t="n"/>
      <c r="I93" s="66" t="n"/>
      <c r="J93" s="67">
        <f>IF(B93="","",(D93="No")+(E93="No")+(F93="No")+(G93="No")+(H93="Shared")+(I93="Compromised"))</f>
        <v/>
      </c>
      <c r="K93" s="68">
        <f>IF(B93="","",IF(J93=0,"Done",IF(C93="High","Fix first",IF(C93="Moderate","Fix next",IF(C93="Low","Later","Set category")))))</f>
        <v/>
      </c>
    </row>
    <row r="94" ht="20" customHeight="1">
      <c r="B94" s="65" t="n"/>
      <c r="C94" s="66" t="n"/>
      <c r="D94" s="66" t="n"/>
      <c r="E94" s="66" t="n"/>
      <c r="F94" s="66" t="n"/>
      <c r="G94" s="66" t="n"/>
      <c r="H94" s="66" t="n"/>
      <c r="I94" s="66" t="n"/>
      <c r="J94" s="67">
        <f>IF(B94="","",(D94="No")+(E94="No")+(F94="No")+(G94="No")+(H94="Shared")+(I94="Compromised"))</f>
        <v/>
      </c>
      <c r="K94" s="68">
        <f>IF(B94="","",IF(J94=0,"Done",IF(C94="High","Fix first",IF(C94="Moderate","Fix next",IF(C94="Low","Later","Set category")))))</f>
        <v/>
      </c>
    </row>
    <row r="95" ht="20" customHeight="1">
      <c r="B95" s="65" t="n"/>
      <c r="C95" s="66" t="n"/>
      <c r="D95" s="66" t="n"/>
      <c r="E95" s="66" t="n"/>
      <c r="F95" s="66" t="n"/>
      <c r="G95" s="66" t="n"/>
      <c r="H95" s="66" t="n"/>
      <c r="I95" s="66" t="n"/>
      <c r="J95" s="67">
        <f>IF(B95="","",(D95="No")+(E95="No")+(F95="No")+(G95="No")+(H95="Shared")+(I95="Compromised"))</f>
        <v/>
      </c>
      <c r="K95" s="68">
        <f>IF(B95="","",IF(J95=0,"Done",IF(C95="High","Fix first",IF(C95="Moderate","Fix next",IF(C95="Low","Later","Set category")))))</f>
        <v/>
      </c>
    </row>
    <row r="96" ht="20" customHeight="1">
      <c r="B96" s="65" t="n"/>
      <c r="C96" s="66" t="n"/>
      <c r="D96" s="66" t="n"/>
      <c r="E96" s="66" t="n"/>
      <c r="F96" s="66" t="n"/>
      <c r="G96" s="66" t="n"/>
      <c r="H96" s="66" t="n"/>
      <c r="I96" s="66" t="n"/>
      <c r="J96" s="67">
        <f>IF(B96="","",(D96="No")+(E96="No")+(F96="No")+(G96="No")+(H96="Shared")+(I96="Compromised"))</f>
        <v/>
      </c>
      <c r="K96" s="68">
        <f>IF(B96="","",IF(J96=0,"Done",IF(C96="High","Fix first",IF(C96="Moderate","Fix next",IF(C96="Low","Later","Set category")))))</f>
        <v/>
      </c>
    </row>
    <row r="97" ht="20" customHeight="1">
      <c r="B97" s="65" t="n"/>
      <c r="C97" s="66" t="n"/>
      <c r="D97" s="66" t="n"/>
      <c r="E97" s="66" t="n"/>
      <c r="F97" s="66" t="n"/>
      <c r="G97" s="66" t="n"/>
      <c r="H97" s="66" t="n"/>
      <c r="I97" s="66" t="n"/>
      <c r="J97" s="67">
        <f>IF(B97="","",(D97="No")+(E97="No")+(F97="No")+(G97="No")+(H97="Shared")+(I97="Compromised"))</f>
        <v/>
      </c>
      <c r="K97" s="68">
        <f>IF(B97="","",IF(J97=0,"Done",IF(C97="High","Fix first",IF(C97="Moderate","Fix next",IF(C97="Low","Later","Set category")))))</f>
        <v/>
      </c>
    </row>
    <row r="98" ht="20" customHeight="1">
      <c r="B98" s="65" t="n"/>
      <c r="C98" s="66" t="n"/>
      <c r="D98" s="66" t="n"/>
      <c r="E98" s="66" t="n"/>
      <c r="F98" s="66" t="n"/>
      <c r="G98" s="66" t="n"/>
      <c r="H98" s="66" t="n"/>
      <c r="I98" s="66" t="n"/>
      <c r="J98" s="67">
        <f>IF(B98="","",(D98="No")+(E98="No")+(F98="No")+(G98="No")+(H98="Shared")+(I98="Compromised"))</f>
        <v/>
      </c>
      <c r="K98" s="68">
        <f>IF(B98="","",IF(J98=0,"Done",IF(C98="High","Fix first",IF(C98="Moderate","Fix next",IF(C98="Low","Later","Set category")))))</f>
        <v/>
      </c>
    </row>
    <row r="99" ht="20" customHeight="1">
      <c r="B99" s="65" t="n"/>
      <c r="C99" s="66" t="n"/>
      <c r="D99" s="66" t="n"/>
      <c r="E99" s="66" t="n"/>
      <c r="F99" s="66" t="n"/>
      <c r="G99" s="66" t="n"/>
      <c r="H99" s="66" t="n"/>
      <c r="I99" s="66" t="n"/>
      <c r="J99" s="67">
        <f>IF(B99="","",(D99="No")+(E99="No")+(F99="No")+(G99="No")+(H99="Shared")+(I99="Compromised"))</f>
        <v/>
      </c>
      <c r="K99" s="68">
        <f>IF(B99="","",IF(J99=0,"Done",IF(C99="High","Fix first",IF(C99="Moderate","Fix next",IF(C99="Low","Later","Set category")))))</f>
        <v/>
      </c>
    </row>
    <row r="100" ht="20" customHeight="1">
      <c r="B100" s="65" t="n"/>
      <c r="C100" s="66" t="n"/>
      <c r="D100" s="66" t="n"/>
      <c r="E100" s="66" t="n"/>
      <c r="F100" s="66" t="n"/>
      <c r="G100" s="66" t="n"/>
      <c r="H100" s="66" t="n"/>
      <c r="I100" s="66" t="n"/>
      <c r="J100" s="67">
        <f>IF(B100="","",(D100="No")+(E100="No")+(F100="No")+(G100="No")+(H100="Shared")+(I100="Compromised"))</f>
        <v/>
      </c>
      <c r="K100" s="68">
        <f>IF(B100="","",IF(J100=0,"Done",IF(C100="High","Fix first",IF(C100="Moderate","Fix next",IF(C100="Low","Later","Set category")))))</f>
        <v/>
      </c>
    </row>
    <row r="101" ht="20" customHeight="1">
      <c r="B101" s="65" t="n"/>
      <c r="C101" s="66" t="n"/>
      <c r="D101" s="66" t="n"/>
      <c r="E101" s="66" t="n"/>
      <c r="F101" s="66" t="n"/>
      <c r="G101" s="66" t="n"/>
      <c r="H101" s="66" t="n"/>
      <c r="I101" s="66" t="n"/>
      <c r="J101" s="67">
        <f>IF(B101="","",(D101="No")+(E101="No")+(F101="No")+(G101="No")+(H101="Shared")+(I101="Compromised"))</f>
        <v/>
      </c>
      <c r="K101" s="68">
        <f>IF(B101="","",IF(J101=0,"Done",IF(C101="High","Fix first",IF(C101="Moderate","Fix next",IF(C101="Low","Later","Set category")))))</f>
        <v/>
      </c>
    </row>
    <row r="102" ht="20" customHeight="1">
      <c r="B102" s="65" t="n"/>
      <c r="C102" s="66" t="n"/>
      <c r="D102" s="66" t="n"/>
      <c r="E102" s="66" t="n"/>
      <c r="F102" s="66" t="n"/>
      <c r="G102" s="66" t="n"/>
      <c r="H102" s="66" t="n"/>
      <c r="I102" s="66" t="n"/>
      <c r="J102" s="67">
        <f>IF(B102="","",(D102="No")+(E102="No")+(F102="No")+(G102="No")+(H102="Shared")+(I102="Compromised"))</f>
        <v/>
      </c>
      <c r="K102" s="68">
        <f>IF(B102="","",IF(J102=0,"Done",IF(C102="High","Fix first",IF(C102="Moderate","Fix next",IF(C102="Low","Later","Set category")))))</f>
        <v/>
      </c>
    </row>
    <row r="103" ht="20" customHeight="1">
      <c r="B103" s="65" t="n"/>
      <c r="C103" s="66" t="n"/>
      <c r="D103" s="66" t="n"/>
      <c r="E103" s="66" t="n"/>
      <c r="F103" s="66" t="n"/>
      <c r="G103" s="66" t="n"/>
      <c r="H103" s="66" t="n"/>
      <c r="I103" s="66" t="n"/>
      <c r="J103" s="67">
        <f>IF(B103="","",(D103="No")+(E103="No")+(F103="No")+(G103="No")+(H103="Shared")+(I103="Compromised"))</f>
        <v/>
      </c>
      <c r="K103" s="68">
        <f>IF(B103="","",IF(J103=0,"Done",IF(C103="High","Fix first",IF(C103="Moderate","Fix next",IF(C103="Low","Later","Set category")))))</f>
        <v/>
      </c>
    </row>
    <row r="104" ht="20" customHeight="1">
      <c r="B104" s="65" t="n"/>
      <c r="C104" s="66" t="n"/>
      <c r="D104" s="66" t="n"/>
      <c r="E104" s="66" t="n"/>
      <c r="F104" s="66" t="n"/>
      <c r="G104" s="66" t="n"/>
      <c r="H104" s="66" t="n"/>
      <c r="I104" s="66" t="n"/>
      <c r="J104" s="67">
        <f>IF(B104="","",(D104="No")+(E104="No")+(F104="No")+(G104="No")+(H104="Shared")+(I104="Compromised"))</f>
        <v/>
      </c>
      <c r="K104" s="68">
        <f>IF(B104="","",IF(J104=0,"Done",IF(C104="High","Fix first",IF(C104="Moderate","Fix next",IF(C104="Low","Later","Set category")))))</f>
        <v/>
      </c>
    </row>
    <row r="105" ht="20" customHeight="1">
      <c r="B105" s="65" t="n"/>
      <c r="C105" s="66" t="n"/>
      <c r="D105" s="66" t="n"/>
      <c r="E105" s="66" t="n"/>
      <c r="F105" s="66" t="n"/>
      <c r="G105" s="66" t="n"/>
      <c r="H105" s="66" t="n"/>
      <c r="I105" s="66" t="n"/>
      <c r="J105" s="67">
        <f>IF(B105="","",(D105="No")+(E105="No")+(F105="No")+(G105="No")+(H105="Shared")+(I105="Compromised"))</f>
        <v/>
      </c>
      <c r="K105" s="68">
        <f>IF(B105="","",IF(J105=0,"Done",IF(C105="High","Fix first",IF(C105="Moderate","Fix next",IF(C105="Low","Later","Set category")))))</f>
        <v/>
      </c>
    </row>
    <row r="106" ht="20" customHeight="1">
      <c r="B106" s="65" t="n"/>
      <c r="C106" s="66" t="n"/>
      <c r="D106" s="66" t="n"/>
      <c r="E106" s="66" t="n"/>
      <c r="F106" s="66" t="n"/>
      <c r="G106" s="66" t="n"/>
      <c r="H106" s="66" t="n"/>
      <c r="I106" s="66" t="n"/>
      <c r="J106" s="67">
        <f>IF(B106="","",(D106="No")+(E106="No")+(F106="No")+(G106="No")+(H106="Shared")+(I106="Compromised"))</f>
        <v/>
      </c>
      <c r="K106" s="68">
        <f>IF(B106="","",IF(J106=0,"Done",IF(C106="High","Fix first",IF(C106="Moderate","Fix next",IF(C106="Low","Later","Set category")))))</f>
        <v/>
      </c>
    </row>
    <row r="107" ht="20" customHeight="1">
      <c r="B107" s="65" t="n"/>
      <c r="C107" s="66" t="n"/>
      <c r="D107" s="66" t="n"/>
      <c r="E107" s="66" t="n"/>
      <c r="F107" s="66" t="n"/>
      <c r="G107" s="66" t="n"/>
      <c r="H107" s="66" t="n"/>
      <c r="I107" s="66" t="n"/>
      <c r="J107" s="67">
        <f>IF(B107="","",(D107="No")+(E107="No")+(F107="No")+(G107="No")+(H107="Shared")+(I107="Compromised"))</f>
        <v/>
      </c>
      <c r="K107" s="68">
        <f>IF(B107="","",IF(J107=0,"Done",IF(C107="High","Fix first",IF(C107="Moderate","Fix next",IF(C107="Low","Later","Set category")))))</f>
        <v/>
      </c>
    </row>
    <row r="108" ht="20" customHeight="1">
      <c r="B108" s="65" t="n"/>
      <c r="C108" s="66" t="n"/>
      <c r="D108" s="66" t="n"/>
      <c r="E108" s="66" t="n"/>
      <c r="F108" s="66" t="n"/>
      <c r="G108" s="66" t="n"/>
      <c r="H108" s="66" t="n"/>
      <c r="I108" s="66" t="n"/>
      <c r="J108" s="67">
        <f>IF(B108="","",(D108="No")+(E108="No")+(F108="No")+(G108="No")+(H108="Shared")+(I108="Compromised"))</f>
        <v/>
      </c>
      <c r="K108" s="68">
        <f>IF(B108="","",IF(J108=0,"Done",IF(C108="High","Fix first",IF(C108="Moderate","Fix next",IF(C108="Low","Later","Set category")))))</f>
        <v/>
      </c>
    </row>
    <row r="109" ht="20" customHeight="1">
      <c r="B109" s="65" t="n"/>
      <c r="C109" s="66" t="n"/>
      <c r="D109" s="66" t="n"/>
      <c r="E109" s="66" t="n"/>
      <c r="F109" s="66" t="n"/>
      <c r="G109" s="66" t="n"/>
      <c r="H109" s="66" t="n"/>
      <c r="I109" s="66" t="n"/>
      <c r="J109" s="67">
        <f>IF(B109="","",(D109="No")+(E109="No")+(F109="No")+(G109="No")+(H109="Shared")+(I109="Compromised"))</f>
        <v/>
      </c>
      <c r="K109" s="68">
        <f>IF(B109="","",IF(J109=0,"Done",IF(C109="High","Fix first",IF(C109="Moderate","Fix next",IF(C109="Low","Later","Set category")))))</f>
        <v/>
      </c>
    </row>
    <row r="110" ht="20" customHeight="1">
      <c r="B110" s="65" t="n"/>
      <c r="C110" s="66" t="n"/>
      <c r="D110" s="66" t="n"/>
      <c r="E110" s="66" t="n"/>
      <c r="F110" s="66" t="n"/>
      <c r="G110" s="66" t="n"/>
      <c r="H110" s="66" t="n"/>
      <c r="I110" s="66" t="n"/>
      <c r="J110" s="67">
        <f>IF(B110="","",(D110="No")+(E110="No")+(F110="No")+(G110="No")+(H110="Shared")+(I110="Compromised"))</f>
        <v/>
      </c>
      <c r="K110" s="68">
        <f>IF(B110="","",IF(J110=0,"Done",IF(C110="High","Fix first",IF(C110="Moderate","Fix next",IF(C110="Low","Later","Set category")))))</f>
        <v/>
      </c>
    </row>
    <row r="111" ht="20" customHeight="1">
      <c r="B111" s="65" t="n"/>
      <c r="C111" s="66" t="n"/>
      <c r="D111" s="66" t="n"/>
      <c r="E111" s="66" t="n"/>
      <c r="F111" s="66" t="n"/>
      <c r="G111" s="66" t="n"/>
      <c r="H111" s="66" t="n"/>
      <c r="I111" s="66" t="n"/>
      <c r="J111" s="67">
        <f>IF(B111="","",(D111="No")+(E111="No")+(F111="No")+(G111="No")+(H111="Shared")+(I111="Compromised"))</f>
        <v/>
      </c>
      <c r="K111" s="68">
        <f>IF(B111="","",IF(J111=0,"Done",IF(C111="High","Fix first",IF(C111="Moderate","Fix next",IF(C111="Low","Later","Set category")))))</f>
        <v/>
      </c>
    </row>
    <row r="112" ht="20" customHeight="1">
      <c r="B112" s="65" t="n"/>
      <c r="C112" s="66" t="n"/>
      <c r="D112" s="66" t="n"/>
      <c r="E112" s="66" t="n"/>
      <c r="F112" s="66" t="n"/>
      <c r="G112" s="66" t="n"/>
      <c r="H112" s="66" t="n"/>
      <c r="I112" s="66" t="n"/>
      <c r="J112" s="67">
        <f>IF(B112="","",(D112="No")+(E112="No")+(F112="No")+(G112="No")+(H112="Shared")+(I112="Compromised"))</f>
        <v/>
      </c>
      <c r="K112" s="68">
        <f>IF(B112="","",IF(J112=0,"Done",IF(C112="High","Fix first",IF(C112="Moderate","Fix next",IF(C112="Low","Later","Set category")))))</f>
        <v/>
      </c>
    </row>
    <row r="113" ht="20" customHeight="1">
      <c r="B113" s="65" t="n"/>
      <c r="C113" s="66" t="n"/>
      <c r="D113" s="66" t="n"/>
      <c r="E113" s="66" t="n"/>
      <c r="F113" s="66" t="n"/>
      <c r="G113" s="66" t="n"/>
      <c r="H113" s="66" t="n"/>
      <c r="I113" s="66" t="n"/>
      <c r="J113" s="67">
        <f>IF(B113="","",(D113="No")+(E113="No")+(F113="No")+(G113="No")+(H113="Shared")+(I113="Compromised"))</f>
        <v/>
      </c>
      <c r="K113" s="68">
        <f>IF(B113="","",IF(J113=0,"Done",IF(C113="High","Fix first",IF(C113="Moderate","Fix next",IF(C113="Low","Later","Set category")))))</f>
        <v/>
      </c>
    </row>
    <row r="114" ht="20" customHeight="1">
      <c r="B114" s="65" t="n"/>
      <c r="C114" s="66" t="n"/>
      <c r="D114" s="66" t="n"/>
      <c r="E114" s="66" t="n"/>
      <c r="F114" s="66" t="n"/>
      <c r="G114" s="66" t="n"/>
      <c r="H114" s="66" t="n"/>
      <c r="I114" s="66" t="n"/>
      <c r="J114" s="67">
        <f>IF(B114="","",(D114="No")+(E114="No")+(F114="No")+(G114="No")+(H114="Shared")+(I114="Compromised"))</f>
        <v/>
      </c>
      <c r="K114" s="68">
        <f>IF(B114="","",IF(J114=0,"Done",IF(C114="High","Fix first",IF(C114="Moderate","Fix next",IF(C114="Low","Later","Set category")))))</f>
        <v/>
      </c>
    </row>
    <row r="115" ht="20" customHeight="1">
      <c r="B115" s="65" t="n"/>
      <c r="C115" s="66" t="n"/>
      <c r="D115" s="66" t="n"/>
      <c r="E115" s="66" t="n"/>
      <c r="F115" s="66" t="n"/>
      <c r="G115" s="66" t="n"/>
      <c r="H115" s="66" t="n"/>
      <c r="I115" s="66" t="n"/>
      <c r="J115" s="67">
        <f>IF(B115="","",(D115="No")+(E115="No")+(F115="No")+(G115="No")+(H115="Shared")+(I115="Compromised"))</f>
        <v/>
      </c>
      <c r="K115" s="68">
        <f>IF(B115="","",IF(J115=0,"Done",IF(C115="High","Fix first",IF(C115="Moderate","Fix next",IF(C115="Low","Later","Set category")))))</f>
        <v/>
      </c>
    </row>
    <row r="116" ht="20" customHeight="1">
      <c r="B116" s="65" t="n"/>
      <c r="C116" s="66" t="n"/>
      <c r="D116" s="66" t="n"/>
      <c r="E116" s="66" t="n"/>
      <c r="F116" s="66" t="n"/>
      <c r="G116" s="66" t="n"/>
      <c r="H116" s="66" t="n"/>
      <c r="I116" s="66" t="n"/>
      <c r="J116" s="67">
        <f>IF(B116="","",(D116="No")+(E116="No")+(F116="No")+(G116="No")+(H116="Shared")+(I116="Compromised"))</f>
        <v/>
      </c>
      <c r="K116" s="68">
        <f>IF(B116="","",IF(J116=0,"Done",IF(C116="High","Fix first",IF(C116="Moderate","Fix next",IF(C116="Low","Later","Set category")))))</f>
        <v/>
      </c>
    </row>
    <row r="117" ht="20" customHeight="1">
      <c r="B117" s="65" t="n"/>
      <c r="C117" s="66" t="n"/>
      <c r="D117" s="66" t="n"/>
      <c r="E117" s="66" t="n"/>
      <c r="F117" s="66" t="n"/>
      <c r="G117" s="66" t="n"/>
      <c r="H117" s="66" t="n"/>
      <c r="I117" s="66" t="n"/>
      <c r="J117" s="67">
        <f>IF(B117="","",(D117="No")+(E117="No")+(F117="No")+(G117="No")+(H117="Shared")+(I117="Compromised"))</f>
        <v/>
      </c>
      <c r="K117" s="68">
        <f>IF(B117="","",IF(J117=0,"Done",IF(C117="High","Fix first",IF(C117="Moderate","Fix next",IF(C117="Low","Later","Set category")))))</f>
        <v/>
      </c>
    </row>
    <row r="118" ht="20" customHeight="1">
      <c r="B118" s="65" t="n"/>
      <c r="C118" s="66" t="n"/>
      <c r="D118" s="66" t="n"/>
      <c r="E118" s="66" t="n"/>
      <c r="F118" s="66" t="n"/>
      <c r="G118" s="66" t="n"/>
      <c r="H118" s="66" t="n"/>
      <c r="I118" s="66" t="n"/>
      <c r="J118" s="67">
        <f>IF(B118="","",(D118="No")+(E118="No")+(F118="No")+(G118="No")+(H118="Shared")+(I118="Compromised"))</f>
        <v/>
      </c>
      <c r="K118" s="68">
        <f>IF(B118="","",IF(J118=0,"Done",IF(C118="High","Fix first",IF(C118="Moderate","Fix next",IF(C118="Low","Later","Set category")))))</f>
        <v/>
      </c>
    </row>
    <row r="119" ht="20" customHeight="1">
      <c r="B119" s="65" t="n"/>
      <c r="C119" s="66" t="n"/>
      <c r="D119" s="66" t="n"/>
      <c r="E119" s="66" t="n"/>
      <c r="F119" s="66" t="n"/>
      <c r="G119" s="66" t="n"/>
      <c r="H119" s="66" t="n"/>
      <c r="I119" s="66" t="n"/>
      <c r="J119" s="67">
        <f>IF(B119="","",(D119="No")+(E119="No")+(F119="No")+(G119="No")+(H119="Shared")+(I119="Compromised"))</f>
        <v/>
      </c>
      <c r="K119" s="68">
        <f>IF(B119="","",IF(J119=0,"Done",IF(C119="High","Fix first",IF(C119="Moderate","Fix next",IF(C119="Low","Later","Set category")))))</f>
        <v/>
      </c>
    </row>
    <row r="120" ht="20" customHeight="1">
      <c r="B120" s="65" t="n"/>
      <c r="C120" s="66" t="n"/>
      <c r="D120" s="66" t="n"/>
      <c r="E120" s="66" t="n"/>
      <c r="F120" s="66" t="n"/>
      <c r="G120" s="66" t="n"/>
      <c r="H120" s="66" t="n"/>
      <c r="I120" s="66" t="n"/>
      <c r="J120" s="67">
        <f>IF(B120="","",(D120="No")+(E120="No")+(F120="No")+(G120="No")+(H120="Shared")+(I120="Compromised"))</f>
        <v/>
      </c>
      <c r="K120" s="68">
        <f>IF(B120="","",IF(J120=0,"Done",IF(C120="High","Fix first",IF(C120="Moderate","Fix next",IF(C120="Low","Later","Set category")))))</f>
        <v/>
      </c>
    </row>
    <row r="121" ht="20" customHeight="1">
      <c r="B121" s="65" t="n"/>
      <c r="C121" s="66" t="n"/>
      <c r="D121" s="66" t="n"/>
      <c r="E121" s="66" t="n"/>
      <c r="F121" s="66" t="n"/>
      <c r="G121" s="66" t="n"/>
      <c r="H121" s="66" t="n"/>
      <c r="I121" s="66" t="n"/>
      <c r="J121" s="67">
        <f>IF(B121="","",(D121="No")+(E121="No")+(F121="No")+(G121="No")+(H121="Shared")+(I121="Compromised"))</f>
        <v/>
      </c>
      <c r="K121" s="68">
        <f>IF(B121="","",IF(J121=0,"Done",IF(C121="High","Fix first",IF(C121="Moderate","Fix next",IF(C121="Low","Later","Set category")))))</f>
        <v/>
      </c>
    </row>
    <row r="122" ht="20" customHeight="1">
      <c r="B122" s="65" t="n"/>
      <c r="C122" s="66" t="n"/>
      <c r="D122" s="66" t="n"/>
      <c r="E122" s="66" t="n"/>
      <c r="F122" s="66" t="n"/>
      <c r="G122" s="66" t="n"/>
      <c r="H122" s="66" t="n"/>
      <c r="I122" s="66" t="n"/>
      <c r="J122" s="67">
        <f>IF(B122="","",(D122="No")+(E122="No")+(F122="No")+(G122="No")+(H122="Shared")+(I122="Compromised"))</f>
        <v/>
      </c>
      <c r="K122" s="68">
        <f>IF(B122="","",IF(J122=0,"Done",IF(C122="High","Fix first",IF(C122="Moderate","Fix next",IF(C122="Low","Later","Set category")))))</f>
        <v/>
      </c>
    </row>
    <row r="123" ht="20" customHeight="1">
      <c r="B123" s="65" t="n"/>
      <c r="C123" s="66" t="n"/>
      <c r="D123" s="66" t="n"/>
      <c r="E123" s="66" t="n"/>
      <c r="F123" s="66" t="n"/>
      <c r="G123" s="66" t="n"/>
      <c r="H123" s="66" t="n"/>
      <c r="I123" s="66" t="n"/>
      <c r="J123" s="67">
        <f>IF(B123="","",(D123="No")+(E123="No")+(F123="No")+(G123="No")+(H123="Shared")+(I123="Compromised"))</f>
        <v/>
      </c>
      <c r="K123" s="68">
        <f>IF(B123="","",IF(J123=0,"Done",IF(C123="High","Fix first",IF(C123="Moderate","Fix next",IF(C123="Low","Later","Set category")))))</f>
        <v/>
      </c>
    </row>
    <row r="124" ht="20" customHeight="1">
      <c r="B124" s="65" t="n"/>
      <c r="C124" s="66" t="n"/>
      <c r="D124" s="66" t="n"/>
      <c r="E124" s="66" t="n"/>
      <c r="F124" s="66" t="n"/>
      <c r="G124" s="66" t="n"/>
      <c r="H124" s="66" t="n"/>
      <c r="I124" s="66" t="n"/>
      <c r="J124" s="67">
        <f>IF(B124="","",(D124="No")+(E124="No")+(F124="No")+(G124="No")+(H124="Shared")+(I124="Compromised"))</f>
        <v/>
      </c>
      <c r="K124" s="68">
        <f>IF(B124="","",IF(J124=0,"Done",IF(C124="High","Fix first",IF(C124="Moderate","Fix next",IF(C124="Low","Later","Set category")))))</f>
        <v/>
      </c>
    </row>
    <row r="125" ht="20" customHeight="1">
      <c r="B125" s="65" t="n"/>
      <c r="C125" s="66" t="n"/>
      <c r="D125" s="66" t="n"/>
      <c r="E125" s="66" t="n"/>
      <c r="F125" s="66" t="n"/>
      <c r="G125" s="66" t="n"/>
      <c r="H125" s="66" t="n"/>
      <c r="I125" s="66" t="n"/>
      <c r="J125" s="67">
        <f>IF(B125="","",(D125="No")+(E125="No")+(F125="No")+(G125="No")+(H125="Shared")+(I125="Compromised"))</f>
        <v/>
      </c>
      <c r="K125" s="68">
        <f>IF(B125="","",IF(J125=0,"Done",IF(C125="High","Fix first",IF(C125="Moderate","Fix next",IF(C125="Low","Later","Set category")))))</f>
        <v/>
      </c>
    </row>
    <row r="126" ht="20" customHeight="1">
      <c r="B126" s="65" t="n"/>
      <c r="C126" s="66" t="n"/>
      <c r="D126" s="66" t="n"/>
      <c r="E126" s="66" t="n"/>
      <c r="F126" s="66" t="n"/>
      <c r="G126" s="66" t="n"/>
      <c r="H126" s="66" t="n"/>
      <c r="I126" s="66" t="n"/>
      <c r="J126" s="67">
        <f>IF(B126="","",(D126="No")+(E126="No")+(F126="No")+(G126="No")+(H126="Shared")+(I126="Compromised"))</f>
        <v/>
      </c>
      <c r="K126" s="68">
        <f>IF(B126="","",IF(J126=0,"Done",IF(C126="High","Fix first",IF(C126="Moderate","Fix next",IF(C126="Low","Later","Set category")))))</f>
        <v/>
      </c>
    </row>
    <row r="127" ht="20" customHeight="1">
      <c r="B127" s="65" t="n"/>
      <c r="C127" s="66" t="n"/>
      <c r="D127" s="66" t="n"/>
      <c r="E127" s="66" t="n"/>
      <c r="F127" s="66" t="n"/>
      <c r="G127" s="66" t="n"/>
      <c r="H127" s="66" t="n"/>
      <c r="I127" s="66" t="n"/>
      <c r="J127" s="67">
        <f>IF(B127="","",(D127="No")+(E127="No")+(F127="No")+(G127="No")+(H127="Shared")+(I127="Compromised"))</f>
        <v/>
      </c>
      <c r="K127" s="68">
        <f>IF(B127="","",IF(J127=0,"Done",IF(C127="High","Fix first",IF(C127="Moderate","Fix next",IF(C127="Low","Later","Set category")))))</f>
        <v/>
      </c>
    </row>
    <row r="128" ht="20" customHeight="1">
      <c r="B128" s="65" t="n"/>
      <c r="C128" s="66" t="n"/>
      <c r="D128" s="66" t="n"/>
      <c r="E128" s="66" t="n"/>
      <c r="F128" s="66" t="n"/>
      <c r="G128" s="66" t="n"/>
      <c r="H128" s="66" t="n"/>
      <c r="I128" s="66" t="n"/>
      <c r="J128" s="67">
        <f>IF(B128="","",(D128="No")+(E128="No")+(F128="No")+(G128="No")+(H128="Shared")+(I128="Compromised"))</f>
        <v/>
      </c>
      <c r="K128" s="68">
        <f>IF(B128="","",IF(J128=0,"Done",IF(C128="High","Fix first",IF(C128="Moderate","Fix next",IF(C128="Low","Later","Set category")))))</f>
        <v/>
      </c>
    </row>
    <row r="129" ht="20" customHeight="1">
      <c r="B129" s="65" t="n"/>
      <c r="C129" s="66" t="n"/>
      <c r="D129" s="66" t="n"/>
      <c r="E129" s="66" t="n"/>
      <c r="F129" s="66" t="n"/>
      <c r="G129" s="66" t="n"/>
      <c r="H129" s="66" t="n"/>
      <c r="I129" s="66" t="n"/>
      <c r="J129" s="67">
        <f>IF(B129="","",(D129="No")+(E129="No")+(F129="No")+(G129="No")+(H129="Shared")+(I129="Compromised"))</f>
        <v/>
      </c>
      <c r="K129" s="68">
        <f>IF(B129="","",IF(J129=0,"Done",IF(C129="High","Fix first",IF(C129="Moderate","Fix next",IF(C129="Low","Later","Set category")))))</f>
        <v/>
      </c>
    </row>
    <row r="130" ht="20" customHeight="1">
      <c r="B130" s="65" t="n"/>
      <c r="C130" s="66" t="n"/>
      <c r="D130" s="66" t="n"/>
      <c r="E130" s="66" t="n"/>
      <c r="F130" s="66" t="n"/>
      <c r="G130" s="66" t="n"/>
      <c r="H130" s="66" t="n"/>
      <c r="I130" s="66" t="n"/>
      <c r="J130" s="67">
        <f>IF(B130="","",(D130="No")+(E130="No")+(F130="No")+(G130="No")+(H130="Shared")+(I130="Compromised"))</f>
        <v/>
      </c>
      <c r="K130" s="68">
        <f>IF(B130="","",IF(J130=0,"Done",IF(C130="High","Fix first",IF(C130="Moderate","Fix next",IF(C130="Low","Later","Set category")))))</f>
        <v/>
      </c>
    </row>
    <row r="131" ht="20" customHeight="1">
      <c r="B131" s="65" t="n"/>
      <c r="C131" s="66" t="n"/>
      <c r="D131" s="66" t="n"/>
      <c r="E131" s="66" t="n"/>
      <c r="F131" s="66" t="n"/>
      <c r="G131" s="66" t="n"/>
      <c r="H131" s="66" t="n"/>
      <c r="I131" s="66" t="n"/>
      <c r="J131" s="67">
        <f>IF(B131="","",(D131="No")+(E131="No")+(F131="No")+(G131="No")+(H131="Shared")+(I131="Compromised"))</f>
        <v/>
      </c>
      <c r="K131" s="68">
        <f>IF(B131="","",IF(J131=0,"Done",IF(C131="High","Fix first",IF(C131="Moderate","Fix next",IF(C131="Low","Later","Set category")))))</f>
        <v/>
      </c>
    </row>
    <row r="132" ht="20" customHeight="1">
      <c r="B132" s="65" t="n"/>
      <c r="C132" s="66" t="n"/>
      <c r="D132" s="66" t="n"/>
      <c r="E132" s="66" t="n"/>
      <c r="F132" s="66" t="n"/>
      <c r="G132" s="66" t="n"/>
      <c r="H132" s="66" t="n"/>
      <c r="I132" s="66" t="n"/>
      <c r="J132" s="67">
        <f>IF(B132="","",(D132="No")+(E132="No")+(F132="No")+(G132="No")+(H132="Shared")+(I132="Compromised"))</f>
        <v/>
      </c>
      <c r="K132" s="68">
        <f>IF(B132="","",IF(J132=0,"Done",IF(C132="High","Fix first",IF(C132="Moderate","Fix next",IF(C132="Low","Later","Set category")))))</f>
        <v/>
      </c>
    </row>
    <row r="133" ht="20" customHeight="1">
      <c r="B133" s="65" t="n"/>
      <c r="C133" s="66" t="n"/>
      <c r="D133" s="66" t="n"/>
      <c r="E133" s="66" t="n"/>
      <c r="F133" s="66" t="n"/>
      <c r="G133" s="66" t="n"/>
      <c r="H133" s="66" t="n"/>
      <c r="I133" s="66" t="n"/>
      <c r="J133" s="67">
        <f>IF(B133="","",(D133="No")+(E133="No")+(F133="No")+(G133="No")+(H133="Shared")+(I133="Compromised"))</f>
        <v/>
      </c>
      <c r="K133" s="68">
        <f>IF(B133="","",IF(J133=0,"Done",IF(C133="High","Fix first",IF(C133="Moderate","Fix next",IF(C133="Low","Later","Set category")))))</f>
        <v/>
      </c>
    </row>
    <row r="134" ht="20" customHeight="1">
      <c r="B134" s="65" t="n"/>
      <c r="C134" s="66" t="n"/>
      <c r="D134" s="66" t="n"/>
      <c r="E134" s="66" t="n"/>
      <c r="F134" s="66" t="n"/>
      <c r="G134" s="66" t="n"/>
      <c r="H134" s="66" t="n"/>
      <c r="I134" s="66" t="n"/>
      <c r="J134" s="67">
        <f>IF(B134="","",(D134="No")+(E134="No")+(F134="No")+(G134="No")+(H134="Shared")+(I134="Compromised"))</f>
        <v/>
      </c>
      <c r="K134" s="68">
        <f>IF(B134="","",IF(J134=0,"Done",IF(C134="High","Fix first",IF(C134="Moderate","Fix next",IF(C134="Low","Later","Set category")))))</f>
        <v/>
      </c>
    </row>
    <row r="135" ht="20" customHeight="1">
      <c r="B135" s="65" t="n"/>
      <c r="C135" s="66" t="n"/>
      <c r="D135" s="66" t="n"/>
      <c r="E135" s="66" t="n"/>
      <c r="F135" s="66" t="n"/>
      <c r="G135" s="66" t="n"/>
      <c r="H135" s="66" t="n"/>
      <c r="I135" s="66" t="n"/>
      <c r="J135" s="67">
        <f>IF(B135="","",(D135="No")+(E135="No")+(F135="No")+(G135="No")+(H135="Shared")+(I135="Compromised"))</f>
        <v/>
      </c>
      <c r="K135" s="68">
        <f>IF(B135="","",IF(J135=0,"Done",IF(C135="High","Fix first",IF(C135="Moderate","Fix next",IF(C135="Low","Later","Set category")))))</f>
        <v/>
      </c>
    </row>
    <row r="136" ht="20" customHeight="1">
      <c r="B136" s="65" t="n"/>
      <c r="C136" s="66" t="n"/>
      <c r="D136" s="66" t="n"/>
      <c r="E136" s="66" t="n"/>
      <c r="F136" s="66" t="n"/>
      <c r="G136" s="66" t="n"/>
      <c r="H136" s="66" t="n"/>
      <c r="I136" s="66" t="n"/>
      <c r="J136" s="67">
        <f>IF(B136="","",(D136="No")+(E136="No")+(F136="No")+(G136="No")+(H136="Shared")+(I136="Compromised"))</f>
        <v/>
      </c>
      <c r="K136" s="68">
        <f>IF(B136="","",IF(J136=0,"Done",IF(C136="High","Fix first",IF(C136="Moderate","Fix next",IF(C136="Low","Later","Set category")))))</f>
        <v/>
      </c>
    </row>
    <row r="137" ht="20" customHeight="1">
      <c r="B137" s="65" t="n"/>
      <c r="C137" s="66" t="n"/>
      <c r="D137" s="66" t="n"/>
      <c r="E137" s="66" t="n"/>
      <c r="F137" s="66" t="n"/>
      <c r="G137" s="66" t="n"/>
      <c r="H137" s="66" t="n"/>
      <c r="I137" s="66" t="n"/>
      <c r="J137" s="67">
        <f>IF(B137="","",(D137="No")+(E137="No")+(F137="No")+(G137="No")+(H137="Shared")+(I137="Compromised"))</f>
        <v/>
      </c>
      <c r="K137" s="68">
        <f>IF(B137="","",IF(J137=0,"Done",IF(C137="High","Fix first",IF(C137="Moderate","Fix next",IF(C137="Low","Later","Set category")))))</f>
        <v/>
      </c>
    </row>
    <row r="138" ht="20" customHeight="1">
      <c r="B138" s="65" t="n"/>
      <c r="C138" s="66" t="n"/>
      <c r="D138" s="66" t="n"/>
      <c r="E138" s="66" t="n"/>
      <c r="F138" s="66" t="n"/>
      <c r="G138" s="66" t="n"/>
      <c r="H138" s="66" t="n"/>
      <c r="I138" s="66" t="n"/>
      <c r="J138" s="67">
        <f>IF(B138="","",(D138="No")+(E138="No")+(F138="No")+(G138="No")+(H138="Shared")+(I138="Compromised"))</f>
        <v/>
      </c>
      <c r="K138" s="68">
        <f>IF(B138="","",IF(J138=0,"Done",IF(C138="High","Fix first",IF(C138="Moderate","Fix next",IF(C138="Low","Later","Set category")))))</f>
        <v/>
      </c>
    </row>
    <row r="139" ht="20" customHeight="1">
      <c r="B139" s="65" t="n"/>
      <c r="C139" s="66" t="n"/>
      <c r="D139" s="66" t="n"/>
      <c r="E139" s="66" t="n"/>
      <c r="F139" s="66" t="n"/>
      <c r="G139" s="66" t="n"/>
      <c r="H139" s="66" t="n"/>
      <c r="I139" s="66" t="n"/>
      <c r="J139" s="67">
        <f>IF(B139="","",(D139="No")+(E139="No")+(F139="No")+(G139="No")+(H139="Shared")+(I139="Compromised"))</f>
        <v/>
      </c>
      <c r="K139" s="68">
        <f>IF(B139="","",IF(J139=0,"Done",IF(C139="High","Fix first",IF(C139="Moderate","Fix next",IF(C139="Low","Later","Set category")))))</f>
        <v/>
      </c>
    </row>
    <row r="140" ht="20" customHeight="1">
      <c r="B140" s="65" t="n"/>
      <c r="C140" s="66" t="n"/>
      <c r="D140" s="66" t="n"/>
      <c r="E140" s="66" t="n"/>
      <c r="F140" s="66" t="n"/>
      <c r="G140" s="66" t="n"/>
      <c r="H140" s="66" t="n"/>
      <c r="I140" s="66" t="n"/>
      <c r="J140" s="67">
        <f>IF(B140="","",(D140="No")+(E140="No")+(F140="No")+(G140="No")+(H140="Shared")+(I140="Compromised"))</f>
        <v/>
      </c>
      <c r="K140" s="68">
        <f>IF(B140="","",IF(J140=0,"Done",IF(C140="High","Fix first",IF(C140="Moderate","Fix next",IF(C140="Low","Later","Set category")))))</f>
        <v/>
      </c>
    </row>
    <row r="141" ht="20" customHeight="1">
      <c r="B141" s="65" t="n"/>
      <c r="C141" s="66" t="n"/>
      <c r="D141" s="66" t="n"/>
      <c r="E141" s="66" t="n"/>
      <c r="F141" s="66" t="n"/>
      <c r="G141" s="66" t="n"/>
      <c r="H141" s="66" t="n"/>
      <c r="I141" s="66" t="n"/>
      <c r="J141" s="67">
        <f>IF(B141="","",(D141="No")+(E141="No")+(F141="No")+(G141="No")+(H141="Shared")+(I141="Compromised"))</f>
        <v/>
      </c>
      <c r="K141" s="68">
        <f>IF(B141="","",IF(J141=0,"Done",IF(C141="High","Fix first",IF(C141="Moderate","Fix next",IF(C141="Low","Later","Set category")))))</f>
        <v/>
      </c>
    </row>
    <row r="142" ht="20" customHeight="1">
      <c r="B142" s="65" t="n"/>
      <c r="C142" s="66" t="n"/>
      <c r="D142" s="66" t="n"/>
      <c r="E142" s="66" t="n"/>
      <c r="F142" s="66" t="n"/>
      <c r="G142" s="66" t="n"/>
      <c r="H142" s="66" t="n"/>
      <c r="I142" s="66" t="n"/>
      <c r="J142" s="67">
        <f>IF(B142="","",(D142="No")+(E142="No")+(F142="No")+(G142="No")+(H142="Shared")+(I142="Compromised"))</f>
        <v/>
      </c>
      <c r="K142" s="68">
        <f>IF(B142="","",IF(J142=0,"Done",IF(C142="High","Fix first",IF(C142="Moderate","Fix next",IF(C142="Low","Later","Set category")))))</f>
        <v/>
      </c>
    </row>
    <row r="143" ht="20" customHeight="1">
      <c r="B143" s="65" t="n"/>
      <c r="C143" s="66" t="n"/>
      <c r="D143" s="66" t="n"/>
      <c r="E143" s="66" t="n"/>
      <c r="F143" s="66" t="n"/>
      <c r="G143" s="66" t="n"/>
      <c r="H143" s="66" t="n"/>
      <c r="I143" s="66" t="n"/>
      <c r="J143" s="67">
        <f>IF(B143="","",(D143="No")+(E143="No")+(F143="No")+(G143="No")+(H143="Shared")+(I143="Compromised"))</f>
        <v/>
      </c>
      <c r="K143" s="68">
        <f>IF(B143="","",IF(J143=0,"Done",IF(C143="High","Fix first",IF(C143="Moderate","Fix next",IF(C143="Low","Later","Set category")))))</f>
        <v/>
      </c>
    </row>
    <row r="144" ht="20" customHeight="1">
      <c r="B144" s="65" t="n"/>
      <c r="C144" s="66" t="n"/>
      <c r="D144" s="66" t="n"/>
      <c r="E144" s="66" t="n"/>
      <c r="F144" s="66" t="n"/>
      <c r="G144" s="66" t="n"/>
      <c r="H144" s="66" t="n"/>
      <c r="I144" s="66" t="n"/>
      <c r="J144" s="67">
        <f>IF(B144="","",(D144="No")+(E144="No")+(F144="No")+(G144="No")+(H144="Shared")+(I144="Compromised"))</f>
        <v/>
      </c>
      <c r="K144" s="68">
        <f>IF(B144="","",IF(J144=0,"Done",IF(C144="High","Fix first",IF(C144="Moderate","Fix next",IF(C144="Low","Later","Set category")))))</f>
        <v/>
      </c>
    </row>
    <row r="145" ht="20" customHeight="1">
      <c r="B145" s="65" t="n"/>
      <c r="C145" s="66" t="n"/>
      <c r="D145" s="66" t="n"/>
      <c r="E145" s="66" t="n"/>
      <c r="F145" s="66" t="n"/>
      <c r="G145" s="66" t="n"/>
      <c r="H145" s="66" t="n"/>
      <c r="I145" s="66" t="n"/>
      <c r="J145" s="67">
        <f>IF(B145="","",(D145="No")+(E145="No")+(F145="No")+(G145="No")+(H145="Shared")+(I145="Compromised"))</f>
        <v/>
      </c>
      <c r="K145" s="68">
        <f>IF(B145="","",IF(J145=0,"Done",IF(C145="High","Fix first",IF(C145="Moderate","Fix next",IF(C145="Low","Later","Set category")))))</f>
        <v/>
      </c>
    </row>
    <row r="146" ht="20" customHeight="1">
      <c r="B146" s="65" t="n"/>
      <c r="C146" s="66" t="n"/>
      <c r="D146" s="66" t="n"/>
      <c r="E146" s="66" t="n"/>
      <c r="F146" s="66" t="n"/>
      <c r="G146" s="66" t="n"/>
      <c r="H146" s="66" t="n"/>
      <c r="I146" s="66" t="n"/>
      <c r="J146" s="67">
        <f>IF(B146="","",(D146="No")+(E146="No")+(F146="No")+(G146="No")+(H146="Shared")+(I146="Compromised"))</f>
        <v/>
      </c>
      <c r="K146" s="68">
        <f>IF(B146="","",IF(J146=0,"Done",IF(C146="High","Fix first",IF(C146="Moderate","Fix next",IF(C146="Low","Later","Set category")))))</f>
        <v/>
      </c>
    </row>
    <row r="147" ht="20" customHeight="1">
      <c r="B147" s="65" t="n"/>
      <c r="C147" s="66" t="n"/>
      <c r="D147" s="66" t="n"/>
      <c r="E147" s="66" t="n"/>
      <c r="F147" s="66" t="n"/>
      <c r="G147" s="66" t="n"/>
      <c r="H147" s="66" t="n"/>
      <c r="I147" s="66" t="n"/>
      <c r="J147" s="67">
        <f>IF(B147="","",(D147="No")+(E147="No")+(F147="No")+(G147="No")+(H147="Shared")+(I147="Compromised"))</f>
        <v/>
      </c>
      <c r="K147" s="68">
        <f>IF(B147="","",IF(J147=0,"Done",IF(C147="High","Fix first",IF(C147="Moderate","Fix next",IF(C147="Low","Later","Set category")))))</f>
        <v/>
      </c>
    </row>
    <row r="148" ht="20" customHeight="1">
      <c r="B148" s="65" t="n"/>
      <c r="C148" s="66" t="n"/>
      <c r="D148" s="66" t="n"/>
      <c r="E148" s="66" t="n"/>
      <c r="F148" s="66" t="n"/>
      <c r="G148" s="66" t="n"/>
      <c r="H148" s="66" t="n"/>
      <c r="I148" s="66" t="n"/>
      <c r="J148" s="67">
        <f>IF(B148="","",(D148="No")+(E148="No")+(F148="No")+(G148="No")+(H148="Shared")+(I148="Compromised"))</f>
        <v/>
      </c>
      <c r="K148" s="68">
        <f>IF(B148="","",IF(J148=0,"Done",IF(C148="High","Fix first",IF(C148="Moderate","Fix next",IF(C148="Low","Later","Set category")))))</f>
        <v/>
      </c>
    </row>
    <row r="149" ht="20" customHeight="1">
      <c r="B149" s="65" t="n"/>
      <c r="C149" s="66" t="n"/>
      <c r="D149" s="66" t="n"/>
      <c r="E149" s="66" t="n"/>
      <c r="F149" s="66" t="n"/>
      <c r="G149" s="66" t="n"/>
      <c r="H149" s="66" t="n"/>
      <c r="I149" s="66" t="n"/>
      <c r="J149" s="67">
        <f>IF(B149="","",(D149="No")+(E149="No")+(F149="No")+(G149="No")+(H149="Shared")+(I149="Compromised"))</f>
        <v/>
      </c>
      <c r="K149" s="68">
        <f>IF(B149="","",IF(J149=0,"Done",IF(C149="High","Fix first",IF(C149="Moderate","Fix next",IF(C149="Low","Later","Set category")))))</f>
        <v/>
      </c>
    </row>
    <row r="150" ht="20" customHeight="1">
      <c r="B150" s="65" t="n"/>
      <c r="C150" s="66" t="n"/>
      <c r="D150" s="66" t="n"/>
      <c r="E150" s="66" t="n"/>
      <c r="F150" s="66" t="n"/>
      <c r="G150" s="66" t="n"/>
      <c r="H150" s="66" t="n"/>
      <c r="I150" s="66" t="n"/>
      <c r="J150" s="67">
        <f>IF(B150="","",(D150="No")+(E150="No")+(F150="No")+(G150="No")+(H150="Shared")+(I150="Compromised"))</f>
        <v/>
      </c>
      <c r="K150" s="68">
        <f>IF(B150="","",IF(J150=0,"Done",IF(C150="High","Fix first",IF(C150="Moderate","Fix next",IF(C150="Low","Later","Set category")))))</f>
        <v/>
      </c>
    </row>
    <row r="151" ht="20" customHeight="1">
      <c r="B151" s="65" t="n"/>
      <c r="C151" s="66" t="n"/>
      <c r="D151" s="66" t="n"/>
      <c r="E151" s="66" t="n"/>
      <c r="F151" s="66" t="n"/>
      <c r="G151" s="66" t="n"/>
      <c r="H151" s="66" t="n"/>
      <c r="I151" s="66" t="n"/>
      <c r="J151" s="67">
        <f>IF(B151="","",(D151="No")+(E151="No")+(F151="No")+(G151="No")+(H151="Shared")+(I151="Compromised"))</f>
        <v/>
      </c>
      <c r="K151" s="68">
        <f>IF(B151="","",IF(J151=0,"Done",IF(C151="High","Fix first",IF(C151="Moderate","Fix next",IF(C151="Low","Later","Set category")))))</f>
        <v/>
      </c>
    </row>
    <row r="152" ht="20" customHeight="1">
      <c r="B152" s="65" t="n"/>
      <c r="C152" s="66" t="n"/>
      <c r="D152" s="66" t="n"/>
      <c r="E152" s="66" t="n"/>
      <c r="F152" s="66" t="n"/>
      <c r="G152" s="66" t="n"/>
      <c r="H152" s="66" t="n"/>
      <c r="I152" s="66" t="n"/>
      <c r="J152" s="67">
        <f>IF(B152="","",(D152="No")+(E152="No")+(F152="No")+(G152="No")+(H152="Shared")+(I152="Compromised"))</f>
        <v/>
      </c>
      <c r="K152" s="68">
        <f>IF(B152="","",IF(J152=0,"Done",IF(C152="High","Fix first",IF(C152="Moderate","Fix next",IF(C152="Low","Later","Set category")))))</f>
        <v/>
      </c>
    </row>
    <row r="153" ht="20" customHeight="1">
      <c r="B153" s="65" t="n"/>
      <c r="C153" s="66" t="n"/>
      <c r="D153" s="66" t="n"/>
      <c r="E153" s="66" t="n"/>
      <c r="F153" s="66" t="n"/>
      <c r="G153" s="66" t="n"/>
      <c r="H153" s="66" t="n"/>
      <c r="I153" s="66" t="n"/>
      <c r="J153" s="67">
        <f>IF(B153="","",(D153="No")+(E153="No")+(F153="No")+(G153="No")+(H153="Shared")+(I153="Compromised"))</f>
        <v/>
      </c>
      <c r="K153" s="68">
        <f>IF(B153="","",IF(J153=0,"Done",IF(C153="High","Fix first",IF(C153="Moderate","Fix next",IF(C153="Low","Later","Set category")))))</f>
        <v/>
      </c>
    </row>
    <row r="154" ht="20" customHeight="1">
      <c r="B154" s="65" t="n"/>
      <c r="C154" s="66" t="n"/>
      <c r="D154" s="66" t="n"/>
      <c r="E154" s="66" t="n"/>
      <c r="F154" s="66" t="n"/>
      <c r="G154" s="66" t="n"/>
      <c r="H154" s="66" t="n"/>
      <c r="I154" s="66" t="n"/>
      <c r="J154" s="67">
        <f>IF(B154="","",(D154="No")+(E154="No")+(F154="No")+(G154="No")+(H154="Shared")+(I154="Compromised"))</f>
        <v/>
      </c>
      <c r="K154" s="68">
        <f>IF(B154="","",IF(J154=0,"Done",IF(C154="High","Fix first",IF(C154="Moderate","Fix next",IF(C154="Low","Later","Set category")))))</f>
        <v/>
      </c>
    </row>
    <row r="155" ht="20" customHeight="1">
      <c r="B155" s="65" t="n"/>
      <c r="C155" s="66" t="n"/>
      <c r="D155" s="66" t="n"/>
      <c r="E155" s="66" t="n"/>
      <c r="F155" s="66" t="n"/>
      <c r="G155" s="66" t="n"/>
      <c r="H155" s="66" t="n"/>
      <c r="I155" s="66" t="n"/>
      <c r="J155" s="67">
        <f>IF(B155="","",(D155="No")+(E155="No")+(F155="No")+(G155="No")+(H155="Shared")+(I155="Compromised"))</f>
        <v/>
      </c>
      <c r="K155" s="68">
        <f>IF(B155="","",IF(J155=0,"Done",IF(C155="High","Fix first",IF(C155="Moderate","Fix next",IF(C155="Low","Later","Set category")))))</f>
        <v/>
      </c>
    </row>
    <row r="156" ht="20" customHeight="1">
      <c r="B156" s="65" t="n"/>
      <c r="C156" s="66" t="n"/>
      <c r="D156" s="66" t="n"/>
      <c r="E156" s="66" t="n"/>
      <c r="F156" s="66" t="n"/>
      <c r="G156" s="66" t="n"/>
      <c r="H156" s="66" t="n"/>
      <c r="I156" s="66" t="n"/>
      <c r="J156" s="67">
        <f>IF(B156="","",(D156="No")+(E156="No")+(F156="No")+(G156="No")+(H156="Shared")+(I156="Compromised"))</f>
        <v/>
      </c>
      <c r="K156" s="68">
        <f>IF(B156="","",IF(J156=0,"Done",IF(C156="High","Fix first",IF(C156="Moderate","Fix next",IF(C156="Low","Later","Set category")))))</f>
        <v/>
      </c>
    </row>
    <row r="157" ht="20" customHeight="1">
      <c r="B157" s="65" t="n"/>
      <c r="C157" s="66" t="n"/>
      <c r="D157" s="66" t="n"/>
      <c r="E157" s="66" t="n"/>
      <c r="F157" s="66" t="n"/>
      <c r="G157" s="66" t="n"/>
      <c r="H157" s="66" t="n"/>
      <c r="I157" s="66" t="n"/>
      <c r="J157" s="67">
        <f>IF(B157="","",(D157="No")+(E157="No")+(F157="No")+(G157="No")+(H157="Shared")+(I157="Compromised"))</f>
        <v/>
      </c>
      <c r="K157" s="68">
        <f>IF(B157="","",IF(J157=0,"Done",IF(C157="High","Fix first",IF(C157="Moderate","Fix next",IF(C157="Low","Later","Set category")))))</f>
        <v/>
      </c>
    </row>
    <row r="158" ht="20" customHeight="1">
      <c r="B158" s="65" t="n"/>
      <c r="C158" s="66" t="n"/>
      <c r="D158" s="66" t="n"/>
      <c r="E158" s="66" t="n"/>
      <c r="F158" s="66" t="n"/>
      <c r="G158" s="66" t="n"/>
      <c r="H158" s="66" t="n"/>
      <c r="I158" s="66" t="n"/>
      <c r="J158" s="67">
        <f>IF(B158="","",(D158="No")+(E158="No")+(F158="No")+(G158="No")+(H158="Shared")+(I158="Compromised"))</f>
        <v/>
      </c>
      <c r="K158" s="68">
        <f>IF(B158="","",IF(J158=0,"Done",IF(C158="High","Fix first",IF(C158="Moderate","Fix next",IF(C158="Low","Later","Set category")))))</f>
        <v/>
      </c>
    </row>
    <row r="159" ht="20" customHeight="1">
      <c r="B159" s="65" t="n"/>
      <c r="C159" s="66" t="n"/>
      <c r="D159" s="66" t="n"/>
      <c r="E159" s="66" t="n"/>
      <c r="F159" s="66" t="n"/>
      <c r="G159" s="66" t="n"/>
      <c r="H159" s="66" t="n"/>
      <c r="I159" s="66" t="n"/>
      <c r="J159" s="67">
        <f>IF(B159="","",(D159="No")+(E159="No")+(F159="No")+(G159="No")+(H159="Shared")+(I159="Compromised"))</f>
        <v/>
      </c>
      <c r="K159" s="68">
        <f>IF(B159="","",IF(J159=0,"Done",IF(C159="High","Fix first",IF(C159="Moderate","Fix next",IF(C159="Low","Later","Set category")))))</f>
        <v/>
      </c>
    </row>
    <row r="160" ht="20" customHeight="1">
      <c r="B160" s="65" t="n"/>
      <c r="C160" s="66" t="n"/>
      <c r="D160" s="66" t="n"/>
      <c r="E160" s="66" t="n"/>
      <c r="F160" s="66" t="n"/>
      <c r="G160" s="66" t="n"/>
      <c r="H160" s="66" t="n"/>
      <c r="I160" s="66" t="n"/>
      <c r="J160" s="67">
        <f>IF(B160="","",(D160="No")+(E160="No")+(F160="No")+(G160="No")+(H160="Shared")+(I160="Compromised"))</f>
        <v/>
      </c>
      <c r="K160" s="68">
        <f>IF(B160="","",IF(J160=0,"Done",IF(C160="High","Fix first",IF(C160="Moderate","Fix next",IF(C160="Low","Later","Set category")))))</f>
        <v/>
      </c>
    </row>
    <row r="161" ht="20" customHeight="1">
      <c r="B161" s="65" t="n"/>
      <c r="C161" s="66" t="n"/>
      <c r="D161" s="66" t="n"/>
      <c r="E161" s="66" t="n"/>
      <c r="F161" s="66" t="n"/>
      <c r="G161" s="66" t="n"/>
      <c r="H161" s="66" t="n"/>
      <c r="I161" s="66" t="n"/>
      <c r="J161" s="67">
        <f>IF(B161="","",(D161="No")+(E161="No")+(F161="No")+(G161="No")+(H161="Shared")+(I161="Compromised"))</f>
        <v/>
      </c>
      <c r="K161" s="68">
        <f>IF(B161="","",IF(J161=0,"Done",IF(C161="High","Fix first",IF(C161="Moderate","Fix next",IF(C161="Low","Later","Set category")))))</f>
        <v/>
      </c>
    </row>
    <row r="162" ht="20" customHeight="1">
      <c r="B162" s="65" t="n"/>
      <c r="C162" s="66" t="n"/>
      <c r="D162" s="66" t="n"/>
      <c r="E162" s="66" t="n"/>
      <c r="F162" s="66" t="n"/>
      <c r="G162" s="66" t="n"/>
      <c r="H162" s="66" t="n"/>
      <c r="I162" s="66" t="n"/>
      <c r="J162" s="67">
        <f>IF(B162="","",(D162="No")+(E162="No")+(F162="No")+(G162="No")+(H162="Shared")+(I162="Compromised"))</f>
        <v/>
      </c>
      <c r="K162" s="68">
        <f>IF(B162="","",IF(J162=0,"Done",IF(C162="High","Fix first",IF(C162="Moderate","Fix next",IF(C162="Low","Later","Set category")))))</f>
        <v/>
      </c>
    </row>
    <row r="163" ht="20" customHeight="1">
      <c r="B163" s="65" t="n"/>
      <c r="C163" s="66" t="n"/>
      <c r="D163" s="66" t="n"/>
      <c r="E163" s="66" t="n"/>
      <c r="F163" s="66" t="n"/>
      <c r="G163" s="66" t="n"/>
      <c r="H163" s="66" t="n"/>
      <c r="I163" s="66" t="n"/>
      <c r="J163" s="67">
        <f>IF(B163="","",(D163="No")+(E163="No")+(F163="No")+(G163="No")+(H163="Shared")+(I163="Compromised"))</f>
        <v/>
      </c>
      <c r="K163" s="68">
        <f>IF(B163="","",IF(J163=0,"Done",IF(C163="High","Fix first",IF(C163="Moderate","Fix next",IF(C163="Low","Later","Set category")))))</f>
        <v/>
      </c>
    </row>
    <row r="164" ht="20" customHeight="1">
      <c r="B164" s="65" t="n"/>
      <c r="C164" s="66" t="n"/>
      <c r="D164" s="66" t="n"/>
      <c r="E164" s="66" t="n"/>
      <c r="F164" s="66" t="n"/>
      <c r="G164" s="66" t="n"/>
      <c r="H164" s="66" t="n"/>
      <c r="I164" s="66" t="n"/>
      <c r="J164" s="67">
        <f>IF(B164="","",(D164="No")+(E164="No")+(F164="No")+(G164="No")+(H164="Shared")+(I164="Compromised"))</f>
        <v/>
      </c>
      <c r="K164" s="68">
        <f>IF(B164="","",IF(J164=0,"Done",IF(C164="High","Fix first",IF(C164="Moderate","Fix next",IF(C164="Low","Later","Set category")))))</f>
        <v/>
      </c>
    </row>
    <row r="165" ht="20" customHeight="1">
      <c r="B165" s="65" t="n"/>
      <c r="C165" s="66" t="n"/>
      <c r="D165" s="66" t="n"/>
      <c r="E165" s="66" t="n"/>
      <c r="F165" s="66" t="n"/>
      <c r="G165" s="66" t="n"/>
      <c r="H165" s="66" t="n"/>
      <c r="I165" s="66" t="n"/>
      <c r="J165" s="67">
        <f>IF(B165="","",(D165="No")+(E165="No")+(F165="No")+(G165="No")+(H165="Shared")+(I165="Compromised"))</f>
        <v/>
      </c>
      <c r="K165" s="68">
        <f>IF(B165="","",IF(J165=0,"Done",IF(C165="High","Fix first",IF(C165="Moderate","Fix next",IF(C165="Low","Later","Set category")))))</f>
        <v/>
      </c>
    </row>
    <row r="166" ht="20" customHeight="1">
      <c r="B166" s="65" t="n"/>
      <c r="C166" s="66" t="n"/>
      <c r="D166" s="66" t="n"/>
      <c r="E166" s="66" t="n"/>
      <c r="F166" s="66" t="n"/>
      <c r="G166" s="66" t="n"/>
      <c r="H166" s="66" t="n"/>
      <c r="I166" s="66" t="n"/>
      <c r="J166" s="67">
        <f>IF(B166="","",(D166="No")+(E166="No")+(F166="No")+(G166="No")+(H166="Shared")+(I166="Compromised"))</f>
        <v/>
      </c>
      <c r="K166" s="68">
        <f>IF(B166="","",IF(J166=0,"Done",IF(C166="High","Fix first",IF(C166="Moderate","Fix next",IF(C166="Low","Later","Set category")))))</f>
        <v/>
      </c>
    </row>
    <row r="167" ht="20" customHeight="1">
      <c r="B167" s="65" t="n"/>
      <c r="C167" s="66" t="n"/>
      <c r="D167" s="66" t="n"/>
      <c r="E167" s="66" t="n"/>
      <c r="F167" s="66" t="n"/>
      <c r="G167" s="66" t="n"/>
      <c r="H167" s="66" t="n"/>
      <c r="I167" s="66" t="n"/>
      <c r="J167" s="67">
        <f>IF(B167="","",(D167="No")+(E167="No")+(F167="No")+(G167="No")+(H167="Shared")+(I167="Compromised"))</f>
        <v/>
      </c>
      <c r="K167" s="68">
        <f>IF(B167="","",IF(J167=0,"Done",IF(C167="High","Fix first",IF(C167="Moderate","Fix next",IF(C167="Low","Later","Set category")))))</f>
        <v/>
      </c>
    </row>
    <row r="168" ht="20" customHeight="1">
      <c r="B168" s="65" t="n"/>
      <c r="C168" s="66" t="n"/>
      <c r="D168" s="66" t="n"/>
      <c r="E168" s="66" t="n"/>
      <c r="F168" s="66" t="n"/>
      <c r="G168" s="66" t="n"/>
      <c r="H168" s="66" t="n"/>
      <c r="I168" s="66" t="n"/>
      <c r="J168" s="67">
        <f>IF(B168="","",(D168="No")+(E168="No")+(F168="No")+(G168="No")+(H168="Shared")+(I168="Compromised"))</f>
        <v/>
      </c>
      <c r="K168" s="68">
        <f>IF(B168="","",IF(J168=0,"Done",IF(C168="High","Fix first",IF(C168="Moderate","Fix next",IF(C168="Low","Later","Set category")))))</f>
        <v/>
      </c>
    </row>
    <row r="169" ht="20" customHeight="1">
      <c r="B169" s="65" t="n"/>
      <c r="C169" s="66" t="n"/>
      <c r="D169" s="66" t="n"/>
      <c r="E169" s="66" t="n"/>
      <c r="F169" s="66" t="n"/>
      <c r="G169" s="66" t="n"/>
      <c r="H169" s="66" t="n"/>
      <c r="I169" s="66" t="n"/>
      <c r="J169" s="67">
        <f>IF(B169="","",(D169="No")+(E169="No")+(F169="No")+(G169="No")+(H169="Shared")+(I169="Compromised"))</f>
        <v/>
      </c>
      <c r="K169" s="68">
        <f>IF(B169="","",IF(J169=0,"Done",IF(C169="High","Fix first",IF(C169="Moderate","Fix next",IF(C169="Low","Later","Set category")))))</f>
        <v/>
      </c>
    </row>
    <row r="170" ht="20" customHeight="1">
      <c r="B170" s="65" t="n"/>
      <c r="C170" s="66" t="n"/>
      <c r="D170" s="66" t="n"/>
      <c r="E170" s="66" t="n"/>
      <c r="F170" s="66" t="n"/>
      <c r="G170" s="66" t="n"/>
      <c r="H170" s="66" t="n"/>
      <c r="I170" s="66" t="n"/>
      <c r="J170" s="67">
        <f>IF(B170="","",(D170="No")+(E170="No")+(F170="No")+(G170="No")+(H170="Shared")+(I170="Compromised"))</f>
        <v/>
      </c>
      <c r="K170" s="68">
        <f>IF(B170="","",IF(J170=0,"Done",IF(C170="High","Fix first",IF(C170="Moderate","Fix next",IF(C170="Low","Later","Set category")))))</f>
        <v/>
      </c>
    </row>
    <row r="171" ht="20" customHeight="1">
      <c r="B171" s="65" t="n"/>
      <c r="C171" s="66" t="n"/>
      <c r="D171" s="66" t="n"/>
      <c r="E171" s="66" t="n"/>
      <c r="F171" s="66" t="n"/>
      <c r="G171" s="66" t="n"/>
      <c r="H171" s="66" t="n"/>
      <c r="I171" s="66" t="n"/>
      <c r="J171" s="67">
        <f>IF(B171="","",(D171="No")+(E171="No")+(F171="No")+(G171="No")+(H171="Shared")+(I171="Compromised"))</f>
        <v/>
      </c>
      <c r="K171" s="68">
        <f>IF(B171="","",IF(J171=0,"Done",IF(C171="High","Fix first",IF(C171="Moderate","Fix next",IF(C171="Low","Later","Set category")))))</f>
        <v/>
      </c>
    </row>
    <row r="172" ht="20" customHeight="1">
      <c r="B172" s="65" t="n"/>
      <c r="C172" s="66" t="n"/>
      <c r="D172" s="66" t="n"/>
      <c r="E172" s="66" t="n"/>
      <c r="F172" s="66" t="n"/>
      <c r="G172" s="66" t="n"/>
      <c r="H172" s="66" t="n"/>
      <c r="I172" s="66" t="n"/>
      <c r="J172" s="67">
        <f>IF(B172="","",(D172="No")+(E172="No")+(F172="No")+(G172="No")+(H172="Shared")+(I172="Compromised"))</f>
        <v/>
      </c>
      <c r="K172" s="68">
        <f>IF(B172="","",IF(J172=0,"Done",IF(C172="High","Fix first",IF(C172="Moderate","Fix next",IF(C172="Low","Later","Set category")))))</f>
        <v/>
      </c>
    </row>
    <row r="173" ht="20" customHeight="1">
      <c r="B173" s="65" t="n"/>
      <c r="C173" s="66" t="n"/>
      <c r="D173" s="66" t="n"/>
      <c r="E173" s="66" t="n"/>
      <c r="F173" s="66" t="n"/>
      <c r="G173" s="66" t="n"/>
      <c r="H173" s="66" t="n"/>
      <c r="I173" s="66" t="n"/>
      <c r="J173" s="67">
        <f>IF(B173="","",(D173="No")+(E173="No")+(F173="No")+(G173="No")+(H173="Shared")+(I173="Compromised"))</f>
        <v/>
      </c>
      <c r="K173" s="68">
        <f>IF(B173="","",IF(J173=0,"Done",IF(C173="High","Fix first",IF(C173="Moderate","Fix next",IF(C173="Low","Later","Set category")))))</f>
        <v/>
      </c>
    </row>
    <row r="174" ht="20" customHeight="1">
      <c r="B174" s="65" t="n"/>
      <c r="C174" s="66" t="n"/>
      <c r="D174" s="66" t="n"/>
      <c r="E174" s="66" t="n"/>
      <c r="F174" s="66" t="n"/>
      <c r="G174" s="66" t="n"/>
      <c r="H174" s="66" t="n"/>
      <c r="I174" s="66" t="n"/>
      <c r="J174" s="67">
        <f>IF(B174="","",(D174="No")+(E174="No")+(F174="No")+(G174="No")+(H174="Shared")+(I174="Compromised"))</f>
        <v/>
      </c>
      <c r="K174" s="68">
        <f>IF(B174="","",IF(J174=0,"Done",IF(C174="High","Fix first",IF(C174="Moderate","Fix next",IF(C174="Low","Later","Set category")))))</f>
        <v/>
      </c>
    </row>
    <row r="175" ht="20" customHeight="1">
      <c r="B175" s="65" t="n"/>
      <c r="C175" s="66" t="n"/>
      <c r="D175" s="66" t="n"/>
      <c r="E175" s="66" t="n"/>
      <c r="F175" s="66" t="n"/>
      <c r="G175" s="66" t="n"/>
      <c r="H175" s="66" t="n"/>
      <c r="I175" s="66" t="n"/>
      <c r="J175" s="67">
        <f>IF(B175="","",(D175="No")+(E175="No")+(F175="No")+(G175="No")+(H175="Shared")+(I175="Compromised"))</f>
        <v/>
      </c>
      <c r="K175" s="68">
        <f>IF(B175="","",IF(J175=0,"Done",IF(C175="High","Fix first",IF(C175="Moderate","Fix next",IF(C175="Low","Later","Set category")))))</f>
        <v/>
      </c>
    </row>
    <row r="176" ht="20" customHeight="1">
      <c r="B176" s="65" t="n"/>
      <c r="C176" s="66" t="n"/>
      <c r="D176" s="66" t="n"/>
      <c r="E176" s="66" t="n"/>
      <c r="F176" s="66" t="n"/>
      <c r="G176" s="66" t="n"/>
      <c r="H176" s="66" t="n"/>
      <c r="I176" s="66" t="n"/>
      <c r="J176" s="67">
        <f>IF(B176="","",(D176="No")+(E176="No")+(F176="No")+(G176="No")+(H176="Shared")+(I176="Compromised"))</f>
        <v/>
      </c>
      <c r="K176" s="68">
        <f>IF(B176="","",IF(J176=0,"Done",IF(C176="High","Fix first",IF(C176="Moderate","Fix next",IF(C176="Low","Later","Set category")))))</f>
        <v/>
      </c>
    </row>
    <row r="177" ht="20" customHeight="1">
      <c r="B177" s="65" t="n"/>
      <c r="C177" s="66" t="n"/>
      <c r="D177" s="66" t="n"/>
      <c r="E177" s="66" t="n"/>
      <c r="F177" s="66" t="n"/>
      <c r="G177" s="66" t="n"/>
      <c r="H177" s="66" t="n"/>
      <c r="I177" s="66" t="n"/>
      <c r="J177" s="67">
        <f>IF(B177="","",(D177="No")+(E177="No")+(F177="No")+(G177="No")+(H177="Shared")+(I177="Compromised"))</f>
        <v/>
      </c>
      <c r="K177" s="68">
        <f>IF(B177="","",IF(J177=0,"Done",IF(C177="High","Fix first",IF(C177="Moderate","Fix next",IF(C177="Low","Later","Set category")))))</f>
        <v/>
      </c>
    </row>
    <row r="178" ht="20" customHeight="1">
      <c r="B178" s="65" t="n"/>
      <c r="C178" s="66" t="n"/>
      <c r="D178" s="66" t="n"/>
      <c r="E178" s="66" t="n"/>
      <c r="F178" s="66" t="n"/>
      <c r="G178" s="66" t="n"/>
      <c r="H178" s="66" t="n"/>
      <c r="I178" s="66" t="n"/>
      <c r="J178" s="67">
        <f>IF(B178="","",(D178="No")+(E178="No")+(F178="No")+(G178="No")+(H178="Shared")+(I178="Compromised"))</f>
        <v/>
      </c>
      <c r="K178" s="68">
        <f>IF(B178="","",IF(J178=0,"Done",IF(C178="High","Fix first",IF(C178="Moderate","Fix next",IF(C178="Low","Later","Set category")))))</f>
        <v/>
      </c>
    </row>
    <row r="179" ht="20" customHeight="1">
      <c r="B179" s="65" t="n"/>
      <c r="C179" s="66" t="n"/>
      <c r="D179" s="66" t="n"/>
      <c r="E179" s="66" t="n"/>
      <c r="F179" s="66" t="n"/>
      <c r="G179" s="66" t="n"/>
      <c r="H179" s="66" t="n"/>
      <c r="I179" s="66" t="n"/>
      <c r="J179" s="67">
        <f>IF(B179="","",(D179="No")+(E179="No")+(F179="No")+(G179="No")+(H179="Shared")+(I179="Compromised"))</f>
        <v/>
      </c>
      <c r="K179" s="68">
        <f>IF(B179="","",IF(J179=0,"Done",IF(C179="High","Fix first",IF(C179="Moderate","Fix next",IF(C179="Low","Later","Set category")))))</f>
        <v/>
      </c>
    </row>
    <row r="180" ht="20" customHeight="1">
      <c r="B180" s="65" t="n"/>
      <c r="C180" s="66" t="n"/>
      <c r="D180" s="66" t="n"/>
      <c r="E180" s="66" t="n"/>
      <c r="F180" s="66" t="n"/>
      <c r="G180" s="66" t="n"/>
      <c r="H180" s="66" t="n"/>
      <c r="I180" s="66" t="n"/>
      <c r="J180" s="67">
        <f>IF(B180="","",(D180="No")+(E180="No")+(F180="No")+(G180="No")+(H180="Shared")+(I180="Compromised"))</f>
        <v/>
      </c>
      <c r="K180" s="68">
        <f>IF(B180="","",IF(J180=0,"Done",IF(C180="High","Fix first",IF(C180="Moderate","Fix next",IF(C180="Low","Later","Set category")))))</f>
        <v/>
      </c>
    </row>
    <row r="181" ht="20" customHeight="1">
      <c r="B181" s="65" t="n"/>
      <c r="C181" s="66" t="n"/>
      <c r="D181" s="66" t="n"/>
      <c r="E181" s="66" t="n"/>
      <c r="F181" s="66" t="n"/>
      <c r="G181" s="66" t="n"/>
      <c r="H181" s="66" t="n"/>
      <c r="I181" s="66" t="n"/>
      <c r="J181" s="67">
        <f>IF(B181="","",(D181="No")+(E181="No")+(F181="No")+(G181="No")+(H181="Shared")+(I181="Compromised"))</f>
        <v/>
      </c>
      <c r="K181" s="68">
        <f>IF(B181="","",IF(J181=0,"Done",IF(C181="High","Fix first",IF(C181="Moderate","Fix next",IF(C181="Low","Later","Set category")))))</f>
        <v/>
      </c>
    </row>
    <row r="182" ht="20" customHeight="1">
      <c r="B182" s="65" t="n"/>
      <c r="C182" s="66" t="n"/>
      <c r="D182" s="66" t="n"/>
      <c r="E182" s="66" t="n"/>
      <c r="F182" s="66" t="n"/>
      <c r="G182" s="66" t="n"/>
      <c r="H182" s="66" t="n"/>
      <c r="I182" s="66" t="n"/>
      <c r="J182" s="67">
        <f>IF(B182="","",(D182="No")+(E182="No")+(F182="No")+(G182="No")+(H182="Shared")+(I182="Compromised"))</f>
        <v/>
      </c>
      <c r="K182" s="68">
        <f>IF(B182="","",IF(J182=0,"Done",IF(C182="High","Fix first",IF(C182="Moderate","Fix next",IF(C182="Low","Later","Set category")))))</f>
        <v/>
      </c>
    </row>
    <row r="183" ht="20" customHeight="1">
      <c r="B183" s="65" t="n"/>
      <c r="C183" s="66" t="n"/>
      <c r="D183" s="66" t="n"/>
      <c r="E183" s="66" t="n"/>
      <c r="F183" s="66" t="n"/>
      <c r="G183" s="66" t="n"/>
      <c r="H183" s="66" t="n"/>
      <c r="I183" s="66" t="n"/>
      <c r="J183" s="67">
        <f>IF(B183="","",(D183="No")+(E183="No")+(F183="No")+(G183="No")+(H183="Shared")+(I183="Compromised"))</f>
        <v/>
      </c>
      <c r="K183" s="68">
        <f>IF(B183="","",IF(J183=0,"Done",IF(C183="High","Fix first",IF(C183="Moderate","Fix next",IF(C183="Low","Later","Set category")))))</f>
        <v/>
      </c>
    </row>
    <row r="184" ht="20" customHeight="1">
      <c r="B184" s="65" t="n"/>
      <c r="C184" s="66" t="n"/>
      <c r="D184" s="66" t="n"/>
      <c r="E184" s="66" t="n"/>
      <c r="F184" s="66" t="n"/>
      <c r="G184" s="66" t="n"/>
      <c r="H184" s="66" t="n"/>
      <c r="I184" s="66" t="n"/>
      <c r="J184" s="67">
        <f>IF(B184="","",(D184="No")+(E184="No")+(F184="No")+(G184="No")+(H184="Shared")+(I184="Compromised"))</f>
        <v/>
      </c>
      <c r="K184" s="68">
        <f>IF(B184="","",IF(J184=0,"Done",IF(C184="High","Fix first",IF(C184="Moderate","Fix next",IF(C184="Low","Later","Set category")))))</f>
        <v/>
      </c>
    </row>
    <row r="185" ht="20" customHeight="1">
      <c r="B185" s="65" t="n"/>
      <c r="C185" s="66" t="n"/>
      <c r="D185" s="66" t="n"/>
      <c r="E185" s="66" t="n"/>
      <c r="F185" s="66" t="n"/>
      <c r="G185" s="66" t="n"/>
      <c r="H185" s="66" t="n"/>
      <c r="I185" s="66" t="n"/>
      <c r="J185" s="67">
        <f>IF(B185="","",(D185="No")+(E185="No")+(F185="No")+(G185="No")+(H185="Shared")+(I185="Compromised"))</f>
        <v/>
      </c>
      <c r="K185" s="68">
        <f>IF(B185="","",IF(J185=0,"Done",IF(C185="High","Fix first",IF(C185="Moderate","Fix next",IF(C185="Low","Later","Set category")))))</f>
        <v/>
      </c>
    </row>
    <row r="186" ht="20" customHeight="1">
      <c r="B186" s="65" t="n"/>
      <c r="C186" s="66" t="n"/>
      <c r="D186" s="66" t="n"/>
      <c r="E186" s="66" t="n"/>
      <c r="F186" s="66" t="n"/>
      <c r="G186" s="66" t="n"/>
      <c r="H186" s="66" t="n"/>
      <c r="I186" s="66" t="n"/>
      <c r="J186" s="67">
        <f>IF(B186="","",(D186="No")+(E186="No")+(F186="No")+(G186="No")+(H186="Shared")+(I186="Compromised"))</f>
        <v/>
      </c>
      <c r="K186" s="68">
        <f>IF(B186="","",IF(J186=0,"Done",IF(C186="High","Fix first",IF(C186="Moderate","Fix next",IF(C186="Low","Later","Set category")))))</f>
        <v/>
      </c>
    </row>
    <row r="187" ht="20" customHeight="1">
      <c r="B187" s="65" t="n"/>
      <c r="C187" s="66" t="n"/>
      <c r="D187" s="66" t="n"/>
      <c r="E187" s="66" t="n"/>
      <c r="F187" s="66" t="n"/>
      <c r="G187" s="66" t="n"/>
      <c r="H187" s="66" t="n"/>
      <c r="I187" s="66" t="n"/>
      <c r="J187" s="67">
        <f>IF(B187="","",(D187="No")+(E187="No")+(F187="No")+(G187="No")+(H187="Shared")+(I187="Compromised"))</f>
        <v/>
      </c>
      <c r="K187" s="68">
        <f>IF(B187="","",IF(J187=0,"Done",IF(C187="High","Fix first",IF(C187="Moderate","Fix next",IF(C187="Low","Later","Set category")))))</f>
        <v/>
      </c>
    </row>
    <row r="188" ht="20" customHeight="1">
      <c r="B188" s="65" t="n"/>
      <c r="C188" s="66" t="n"/>
      <c r="D188" s="66" t="n"/>
      <c r="E188" s="66" t="n"/>
      <c r="F188" s="66" t="n"/>
      <c r="G188" s="66" t="n"/>
      <c r="H188" s="66" t="n"/>
      <c r="I188" s="66" t="n"/>
      <c r="J188" s="67">
        <f>IF(B188="","",(D188="No")+(E188="No")+(F188="No")+(G188="No")+(H188="Shared")+(I188="Compromised"))</f>
        <v/>
      </c>
      <c r="K188" s="68">
        <f>IF(B188="","",IF(J188=0,"Done",IF(C188="High","Fix first",IF(C188="Moderate","Fix next",IF(C188="Low","Later","Set category")))))</f>
        <v/>
      </c>
    </row>
    <row r="189" ht="20" customHeight="1">
      <c r="B189" s="65" t="n"/>
      <c r="C189" s="66" t="n"/>
      <c r="D189" s="66" t="n"/>
      <c r="E189" s="66" t="n"/>
      <c r="F189" s="66" t="n"/>
      <c r="G189" s="66" t="n"/>
      <c r="H189" s="66" t="n"/>
      <c r="I189" s="66" t="n"/>
      <c r="J189" s="67">
        <f>IF(B189="","",(D189="No")+(E189="No")+(F189="No")+(G189="No")+(H189="Shared")+(I189="Compromised"))</f>
        <v/>
      </c>
      <c r="K189" s="68">
        <f>IF(B189="","",IF(J189=0,"Done",IF(C189="High","Fix first",IF(C189="Moderate","Fix next",IF(C189="Low","Later","Set category")))))</f>
        <v/>
      </c>
    </row>
    <row r="190" ht="20" customHeight="1">
      <c r="B190" s="65" t="n"/>
      <c r="C190" s="66" t="n"/>
      <c r="D190" s="66" t="n"/>
      <c r="E190" s="66" t="n"/>
      <c r="F190" s="66" t="n"/>
      <c r="G190" s="66" t="n"/>
      <c r="H190" s="66" t="n"/>
      <c r="I190" s="66" t="n"/>
      <c r="J190" s="67">
        <f>IF(B190="","",(D190="No")+(E190="No")+(F190="No")+(G190="No")+(H190="Shared")+(I190="Compromised"))</f>
        <v/>
      </c>
      <c r="K190" s="68">
        <f>IF(B190="","",IF(J190=0,"Done",IF(C190="High","Fix first",IF(C190="Moderate","Fix next",IF(C190="Low","Later","Set category")))))</f>
        <v/>
      </c>
    </row>
    <row r="191" ht="20" customHeight="1">
      <c r="B191" s="65" t="n"/>
      <c r="C191" s="66" t="n"/>
      <c r="D191" s="66" t="n"/>
      <c r="E191" s="66" t="n"/>
      <c r="F191" s="66" t="n"/>
      <c r="G191" s="66" t="n"/>
      <c r="H191" s="66" t="n"/>
      <c r="I191" s="66" t="n"/>
      <c r="J191" s="67">
        <f>IF(B191="","",(D191="No")+(E191="No")+(F191="No")+(G191="No")+(H191="Shared")+(I191="Compromised"))</f>
        <v/>
      </c>
      <c r="K191" s="68">
        <f>IF(B191="","",IF(J191=0,"Done",IF(C191="High","Fix first",IF(C191="Moderate","Fix next",IF(C191="Low","Later","Set category")))))</f>
        <v/>
      </c>
    </row>
    <row r="192" ht="20" customHeight="1">
      <c r="B192" s="65" t="n"/>
      <c r="C192" s="66" t="n"/>
      <c r="D192" s="66" t="n"/>
      <c r="E192" s="66" t="n"/>
      <c r="F192" s="66" t="n"/>
      <c r="G192" s="66" t="n"/>
      <c r="H192" s="66" t="n"/>
      <c r="I192" s="66" t="n"/>
      <c r="J192" s="67">
        <f>IF(B192="","",(D192="No")+(E192="No")+(F192="No")+(G192="No")+(H192="Shared")+(I192="Compromised"))</f>
        <v/>
      </c>
      <c r="K192" s="68">
        <f>IF(B192="","",IF(J192=0,"Done",IF(C192="High","Fix first",IF(C192="Moderate","Fix next",IF(C192="Low","Later","Set category")))))</f>
        <v/>
      </c>
    </row>
    <row r="193" ht="20" customHeight="1">
      <c r="B193" s="65" t="n"/>
      <c r="C193" s="66" t="n"/>
      <c r="D193" s="66" t="n"/>
      <c r="E193" s="66" t="n"/>
      <c r="F193" s="66" t="n"/>
      <c r="G193" s="66" t="n"/>
      <c r="H193" s="66" t="n"/>
      <c r="I193" s="66" t="n"/>
      <c r="J193" s="67">
        <f>IF(B193="","",(D193="No")+(E193="No")+(F193="No")+(G193="No")+(H193="Shared")+(I193="Compromised"))</f>
        <v/>
      </c>
      <c r="K193" s="68">
        <f>IF(B193="","",IF(J193=0,"Done",IF(C193="High","Fix first",IF(C193="Moderate","Fix next",IF(C193="Low","Later","Set category")))))</f>
        <v/>
      </c>
    </row>
    <row r="194" ht="20" customHeight="1">
      <c r="B194" s="65" t="n"/>
      <c r="C194" s="66" t="n"/>
      <c r="D194" s="66" t="n"/>
      <c r="E194" s="66" t="n"/>
      <c r="F194" s="66" t="n"/>
      <c r="G194" s="66" t="n"/>
      <c r="H194" s="66" t="n"/>
      <c r="I194" s="66" t="n"/>
      <c r="J194" s="67">
        <f>IF(B194="","",(D194="No")+(E194="No")+(F194="No")+(G194="No")+(H194="Shared")+(I194="Compromised"))</f>
        <v/>
      </c>
      <c r="K194" s="68">
        <f>IF(B194="","",IF(J194=0,"Done",IF(C194="High","Fix first",IF(C194="Moderate","Fix next",IF(C194="Low","Later","Set category")))))</f>
        <v/>
      </c>
    </row>
    <row r="195" ht="20" customHeight="1">
      <c r="B195" s="65" t="n"/>
      <c r="C195" s="66" t="n"/>
      <c r="D195" s="66" t="n"/>
      <c r="E195" s="66" t="n"/>
      <c r="F195" s="66" t="n"/>
      <c r="G195" s="66" t="n"/>
      <c r="H195" s="66" t="n"/>
      <c r="I195" s="66" t="n"/>
      <c r="J195" s="67">
        <f>IF(B195="","",(D195="No")+(E195="No")+(F195="No")+(G195="No")+(H195="Shared")+(I195="Compromised"))</f>
        <v/>
      </c>
      <c r="K195" s="68">
        <f>IF(B195="","",IF(J195=0,"Done",IF(C195="High","Fix first",IF(C195="Moderate","Fix next",IF(C195="Low","Later","Set category")))))</f>
        <v/>
      </c>
    </row>
    <row r="196" ht="20" customHeight="1">
      <c r="B196" s="65" t="n"/>
      <c r="C196" s="66" t="n"/>
      <c r="D196" s="66" t="n"/>
      <c r="E196" s="66" t="n"/>
      <c r="F196" s="66" t="n"/>
      <c r="G196" s="66" t="n"/>
      <c r="H196" s="66" t="n"/>
      <c r="I196" s="66" t="n"/>
      <c r="J196" s="67">
        <f>IF(B196="","",(D196="No")+(E196="No")+(F196="No")+(G196="No")+(H196="Shared")+(I196="Compromised"))</f>
        <v/>
      </c>
      <c r="K196" s="68">
        <f>IF(B196="","",IF(J196=0,"Done",IF(C196="High","Fix first",IF(C196="Moderate","Fix next",IF(C196="Low","Later","Set category")))))</f>
        <v/>
      </c>
    </row>
    <row r="197" ht="20" customHeight="1">
      <c r="B197" s="65" t="n"/>
      <c r="C197" s="66" t="n"/>
      <c r="D197" s="66" t="n"/>
      <c r="E197" s="66" t="n"/>
      <c r="F197" s="66" t="n"/>
      <c r="G197" s="66" t="n"/>
      <c r="H197" s="66" t="n"/>
      <c r="I197" s="66" t="n"/>
      <c r="J197" s="67">
        <f>IF(B197="","",(D197="No")+(E197="No")+(F197="No")+(G197="No")+(H197="Shared")+(I197="Compromised"))</f>
        <v/>
      </c>
      <c r="K197" s="68">
        <f>IF(B197="","",IF(J197=0,"Done",IF(C197="High","Fix first",IF(C197="Moderate","Fix next",IF(C197="Low","Later","Set category")))))</f>
        <v/>
      </c>
    </row>
    <row r="198" ht="20" customHeight="1">
      <c r="B198" s="65" t="n"/>
      <c r="C198" s="66" t="n"/>
      <c r="D198" s="66" t="n"/>
      <c r="E198" s="66" t="n"/>
      <c r="F198" s="66" t="n"/>
      <c r="G198" s="66" t="n"/>
      <c r="H198" s="66" t="n"/>
      <c r="I198" s="66" t="n"/>
      <c r="J198" s="67">
        <f>IF(B198="","",(D198="No")+(E198="No")+(F198="No")+(G198="No")+(H198="Shared")+(I198="Compromised"))</f>
        <v/>
      </c>
      <c r="K198" s="68">
        <f>IF(B198="","",IF(J198=0,"Done",IF(C198="High","Fix first",IF(C198="Moderate","Fix next",IF(C198="Low","Later","Set category")))))</f>
        <v/>
      </c>
    </row>
    <row r="199" ht="20" customHeight="1">
      <c r="B199" s="65" t="n"/>
      <c r="C199" s="66" t="n"/>
      <c r="D199" s="66" t="n"/>
      <c r="E199" s="66" t="n"/>
      <c r="F199" s="66" t="n"/>
      <c r="G199" s="66" t="n"/>
      <c r="H199" s="66" t="n"/>
      <c r="I199" s="66" t="n"/>
      <c r="J199" s="67">
        <f>IF(B199="","",(D199="No")+(E199="No")+(F199="No")+(G199="No")+(H199="Shared")+(I199="Compromised"))</f>
        <v/>
      </c>
      <c r="K199" s="68">
        <f>IF(B199="","",IF(J199=0,"Done",IF(C199="High","Fix first",IF(C199="Moderate","Fix next",IF(C199="Low","Later","Set category")))))</f>
        <v/>
      </c>
    </row>
    <row r="200" ht="20" customHeight="1">
      <c r="B200" s="65" t="n"/>
      <c r="C200" s="66" t="n"/>
      <c r="D200" s="66" t="n"/>
      <c r="E200" s="66" t="n"/>
      <c r="F200" s="66" t="n"/>
      <c r="G200" s="66" t="n"/>
      <c r="H200" s="66" t="n"/>
      <c r="I200" s="66" t="n"/>
      <c r="J200" s="67">
        <f>IF(B200="","",(D200="No")+(E200="No")+(F200="No")+(G200="No")+(H200="Shared")+(I200="Compromised"))</f>
        <v/>
      </c>
      <c r="K200" s="68">
        <f>IF(B200="","",IF(J200=0,"Done",IF(C200="High","Fix first",IF(C200="Moderate","Fix next",IF(C200="Low","Later","Set category")))))</f>
        <v/>
      </c>
    </row>
    <row r="201" ht="20" customHeight="1">
      <c r="B201" s="65" t="n"/>
      <c r="C201" s="66" t="n"/>
      <c r="D201" s="66" t="n"/>
      <c r="E201" s="66" t="n"/>
      <c r="F201" s="66" t="n"/>
      <c r="G201" s="66" t="n"/>
      <c r="H201" s="66" t="n"/>
      <c r="I201" s="66" t="n"/>
      <c r="J201" s="67">
        <f>IF(B201="","",(D201="No")+(E201="No")+(F201="No")+(G201="No")+(H201="Shared")+(I201="Compromised"))</f>
        <v/>
      </c>
      <c r="K201" s="68">
        <f>IF(B201="","",IF(J201=0,"Done",IF(C201="High","Fix first",IF(C201="Moderate","Fix next",IF(C201="Low","Later","Set category")))))</f>
        <v/>
      </c>
    </row>
    <row r="202" ht="20" customHeight="1">
      <c r="B202" s="65" t="n"/>
      <c r="C202" s="66" t="n"/>
      <c r="D202" s="66" t="n"/>
      <c r="E202" s="66" t="n"/>
      <c r="F202" s="66" t="n"/>
      <c r="G202" s="66" t="n"/>
      <c r="H202" s="66" t="n"/>
      <c r="I202" s="66" t="n"/>
      <c r="J202" s="67">
        <f>IF(B202="","",(D202="No")+(E202="No")+(F202="No")+(G202="No")+(H202="Shared")+(I202="Compromised"))</f>
        <v/>
      </c>
      <c r="K202" s="68">
        <f>IF(B202="","",IF(J202=0,"Done",IF(C202="High","Fix first",IF(C202="Moderate","Fix next",IF(C202="Low","Later","Set category")))))</f>
        <v/>
      </c>
    </row>
    <row r="203" ht="20" customHeight="1">
      <c r="B203" s="65" t="n"/>
      <c r="C203" s="66" t="n"/>
      <c r="D203" s="66" t="n"/>
      <c r="E203" s="66" t="n"/>
      <c r="F203" s="66" t="n"/>
      <c r="G203" s="66" t="n"/>
      <c r="H203" s="66" t="n"/>
      <c r="I203" s="66" t="n"/>
      <c r="J203" s="67">
        <f>IF(B203="","",(D203="No")+(E203="No")+(F203="No")+(G203="No")+(H203="Shared")+(I203="Compromised"))</f>
        <v/>
      </c>
      <c r="K203" s="68">
        <f>IF(B203="","",IF(J203=0,"Done",IF(C203="High","Fix first",IF(C203="Moderate","Fix next",IF(C203="Low","Later","Set category")))))</f>
        <v/>
      </c>
    </row>
    <row r="204" ht="20" customHeight="1">
      <c r="B204" s="65" t="n"/>
      <c r="C204" s="66" t="n"/>
      <c r="D204" s="66" t="n"/>
      <c r="E204" s="66" t="n"/>
      <c r="F204" s="66" t="n"/>
      <c r="G204" s="66" t="n"/>
      <c r="H204" s="66" t="n"/>
      <c r="I204" s="66" t="n"/>
      <c r="J204" s="67">
        <f>IF(B204="","",(D204="No")+(E204="No")+(F204="No")+(G204="No")+(H204="Shared")+(I204="Compromised"))</f>
        <v/>
      </c>
      <c r="K204" s="68">
        <f>IF(B204="","",IF(J204=0,"Done",IF(C204="High","Fix first",IF(C204="Moderate","Fix next",IF(C204="Low","Later","Set category")))))</f>
        <v/>
      </c>
    </row>
    <row r="205" ht="20" customHeight="1">
      <c r="B205" s="65" t="n"/>
      <c r="C205" s="66" t="n"/>
      <c r="D205" s="66" t="n"/>
      <c r="E205" s="66" t="n"/>
      <c r="F205" s="66" t="n"/>
      <c r="G205" s="66" t="n"/>
      <c r="H205" s="66" t="n"/>
      <c r="I205" s="66" t="n"/>
      <c r="J205" s="67">
        <f>IF(B205="","",(D205="No")+(E205="No")+(F205="No")+(G205="No")+(H205="Shared")+(I205="Compromised"))</f>
        <v/>
      </c>
      <c r="K205" s="68">
        <f>IF(B205="","",IF(J205=0,"Done",IF(C205="High","Fix first",IF(C205="Moderate","Fix next",IF(C205="Low","Later","Set category")))))</f>
        <v/>
      </c>
    </row>
    <row r="206" ht="20" customHeight="1">
      <c r="B206" s="65" t="n"/>
      <c r="C206" s="66" t="n"/>
      <c r="D206" s="66" t="n"/>
      <c r="E206" s="66" t="n"/>
      <c r="F206" s="66" t="n"/>
      <c r="G206" s="66" t="n"/>
      <c r="H206" s="66" t="n"/>
      <c r="I206" s="66" t="n"/>
      <c r="J206" s="67">
        <f>IF(B206="","",(D206="No")+(E206="No")+(F206="No")+(G206="No")+(H206="Shared")+(I206="Compromised"))</f>
        <v/>
      </c>
      <c r="K206" s="68">
        <f>IF(B206="","",IF(J206=0,"Done",IF(C206="High","Fix first",IF(C206="Moderate","Fix next",IF(C206="Low","Later","Set category")))))</f>
        <v/>
      </c>
    </row>
    <row r="207" ht="20" customHeight="1">
      <c r="B207" s="65" t="n"/>
      <c r="C207" s="66" t="n"/>
      <c r="D207" s="66" t="n"/>
      <c r="E207" s="66" t="n"/>
      <c r="F207" s="66" t="n"/>
      <c r="G207" s="66" t="n"/>
      <c r="H207" s="66" t="n"/>
      <c r="I207" s="66" t="n"/>
      <c r="J207" s="67">
        <f>IF(B207="","",(D207="No")+(E207="No")+(F207="No")+(G207="No")+(H207="Shared")+(I207="Compromised"))</f>
        <v/>
      </c>
      <c r="K207" s="68">
        <f>IF(B207="","",IF(J207=0,"Done",IF(C207="High","Fix first",IF(C207="Moderate","Fix next",IF(C207="Low","Later","Set category")))))</f>
        <v/>
      </c>
    </row>
  </sheetData>
  <autoFilter ref="B6:K207"/>
  <mergeCells count="1">
    <mergeCell ref="B5:K5"/>
  </mergeCells>
  <conditionalFormatting sqref="C8:C207">
    <cfRule type="cellIs" priority="1" operator="equal" dxfId="0">
      <formula>"High"</formula>
    </cfRule>
    <cfRule type="cellIs" priority="2" operator="equal" dxfId="1">
      <formula>"Moderate"</formula>
    </cfRule>
    <cfRule type="cellIs" priority="3" operator="equal" dxfId="2">
      <formula>"Low"</formula>
    </cfRule>
  </conditionalFormatting>
  <conditionalFormatting sqref="D8:D207">
    <cfRule type="cellIs" priority="4" operator="equal" dxfId="2">
      <formula>"Yes"</formula>
    </cfRule>
    <cfRule type="cellIs" priority="5" operator="equal" dxfId="0">
      <formula>"No"</formula>
    </cfRule>
  </conditionalFormatting>
  <conditionalFormatting sqref="E8:E207">
    <cfRule type="cellIs" priority="6" operator="equal" dxfId="2">
      <formula>"Yes"</formula>
    </cfRule>
    <cfRule type="cellIs" priority="7" operator="equal" dxfId="0">
      <formula>"No"</formula>
    </cfRule>
  </conditionalFormatting>
  <conditionalFormatting sqref="F8:F207">
    <cfRule type="cellIs" priority="8" operator="equal" dxfId="2">
      <formula>"Yes"</formula>
    </cfRule>
    <cfRule type="cellIs" priority="9" operator="equal" dxfId="0">
      <formula>"No"</formula>
    </cfRule>
  </conditionalFormatting>
  <conditionalFormatting sqref="G8:G207">
    <cfRule type="cellIs" priority="10" operator="equal" dxfId="2">
      <formula>"Yes"</formula>
    </cfRule>
    <cfRule type="cellIs" priority="11" operator="equal" dxfId="0">
      <formula>"No"</formula>
    </cfRule>
  </conditionalFormatting>
  <conditionalFormatting sqref="H8:H207">
    <cfRule type="cellIs" priority="12" operator="equal" dxfId="2">
      <formula>"Safe"</formula>
    </cfRule>
    <cfRule type="cellIs" priority="13" operator="equal" dxfId="0">
      <formula>"Shared"</formula>
    </cfRule>
  </conditionalFormatting>
  <conditionalFormatting sqref="I8:I207">
    <cfRule type="cellIs" priority="14" operator="equal" dxfId="2">
      <formula>"Clean"</formula>
    </cfRule>
    <cfRule type="cellIs" priority="15" operator="equal" dxfId="0">
      <formula>"Compromised"</formula>
    </cfRule>
  </conditionalFormatting>
  <conditionalFormatting sqref="J8:J207">
    <cfRule type="expression" priority="16" dxfId="0">
      <formula>AND(ISNUMBER(J8),J8&gt;=3)</formula>
    </cfRule>
    <cfRule type="expression" priority="17" dxfId="1">
      <formula>AND(ISNUMBER(J8),J8&gt;=1)</formula>
    </cfRule>
    <cfRule type="expression" priority="18" dxfId="2">
      <formula>AND(ISNUMBER(J8),J8=0)</formula>
    </cfRule>
  </conditionalFormatting>
  <conditionalFormatting sqref="K8:K207">
    <cfRule type="cellIs" priority="19" operator="equal" dxfId="0">
      <formula>"Fix first"</formula>
    </cfRule>
    <cfRule type="cellIs" priority="20" operator="equal" dxfId="1">
      <formula>"Fix next"</formula>
    </cfRule>
    <cfRule type="cellIs" priority="21" operator="equal" dxfId="3">
      <formula>"Later"</formula>
    </cfRule>
    <cfRule type="cellIs" priority="22" operator="equal" dxfId="2">
      <formula>"Done"</formula>
    </cfRule>
    <cfRule type="cellIs" priority="23" operator="equal" dxfId="3">
      <formula>"Set category"</formula>
    </cfRule>
  </conditionalFormatting>
  <dataValidations count="7">
    <dataValidation sqref="C7:C207" showDropDown="0" showInputMessage="0" showErrorMessage="1" allowBlank="1" errorTitle="Pick from the list" error="Choose one of: Low, Moderate, High" type="list">
      <formula1>"Low,Moderate,High"</formula1>
    </dataValidation>
    <dataValidation sqref="D7:D207" showDropDown="0" showInputMessage="0" showErrorMessage="1" allowBlank="1" errorTitle="Pick from the list" error="Choose one of: Yes, No" type="list">
      <formula1>"Yes,No"</formula1>
    </dataValidation>
    <dataValidation sqref="E7:E207" showDropDown="0" showInputMessage="0" showErrorMessage="1" allowBlank="1" errorTitle="Pick from the list" error="Choose one of: Yes, No" type="list">
      <formula1>"Yes,No"</formula1>
    </dataValidation>
    <dataValidation sqref="F7:F207" showDropDown="0" showInputMessage="0" showErrorMessage="1" allowBlank="1" errorTitle="Pick from the list" error="Choose one of: Yes, No" type="list">
      <formula1>"Yes,No"</formula1>
    </dataValidation>
    <dataValidation sqref="G7:G207" showDropDown="0" showInputMessage="0" showErrorMessage="1" allowBlank="1" errorTitle="Pick from the list" error="Choose one of: Yes, No" type="list">
      <formula1>"Yes,No"</formula1>
    </dataValidation>
    <dataValidation sqref="H7:H207" showDropDown="0" showInputMessage="0" showErrorMessage="1" allowBlank="1" errorTitle="Pick from the list" error="Choose one of: Shared, Safe" type="list">
      <formula1>"Shared,Safe"</formula1>
    </dataValidation>
    <dataValidation sqref="I7:I207" showDropDown="0" showInputMessage="0" showErrorMessage="1" allowBlank="1" errorTitle="Pick from the list" error="Choose one of: Compromised, Clean" type="list">
      <formula1>"Compromised,Clean"</formula1>
    </dataValidation>
  </dataValidations>
  <hyperlinks>
    <hyperlink ref="K2" location="'Start Here'!A1" display="Start Here"/>
  </hyperlinks>
  <pageMargins left="0.4" right="0.4" top="0.5" bottom="0.5"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tabColor rgb="002A78D6"/>
    <outlinePr summaryBelow="1" summaryRight="1"/>
    <pageSetUpPr fitToPage="1"/>
  </sheetPr>
  <dimension ref="A1:K207"/>
  <sheetViews>
    <sheetView showGridLines="0" zoomScale="10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1.5" customWidth="1" min="3" max="3"/>
    <col width="10" customWidth="1" min="4" max="4"/>
    <col width="10" customWidth="1" min="5" max="5"/>
    <col width="14.5" customWidth="1" min="6" max="6"/>
    <col width="12" customWidth="1" min="7" max="7"/>
    <col width="10" customWidth="1" min="8" max="8"/>
    <col width="9.5" customWidth="1" min="9" max="9"/>
    <col width="14.5" customWidth="1" min="10" max="10"/>
    <col width="2.5" customWidth="1" min="11" max="11"/>
  </cols>
  <sheetData>
    <row r="1" ht="10" customHeight="1">
      <c r="A1" s="1" t="n"/>
      <c r="B1" s="1" t="n"/>
      <c r="C1" s="1" t="n"/>
      <c r="D1" s="1" t="n"/>
      <c r="E1" s="1" t="n"/>
      <c r="F1" s="1" t="n"/>
      <c r="G1" s="1" t="n"/>
      <c r="H1" s="1" t="n"/>
      <c r="I1" s="1" t="n"/>
      <c r="J1" s="1" t="n"/>
      <c r="K1" s="1" t="n"/>
    </row>
    <row r="2" ht="34" customHeight="1">
      <c r="A2" s="1" t="n"/>
      <c r="B2" s="2" t="inlineStr">
        <is>
          <t>Applications</t>
        </is>
      </c>
      <c r="C2" s="1" t="n"/>
      <c r="D2" s="1" t="n"/>
      <c r="E2" s="1" t="n"/>
      <c r="F2" s="1" t="n"/>
      <c r="G2" s="1" t="n"/>
      <c r="H2" s="1" t="n"/>
      <c r="I2" s="1" t="n"/>
      <c r="J2" s="31" t="inlineStr">
        <is>
          <t>← Start Here</t>
        </is>
      </c>
      <c r="K2" s="1" t="n"/>
    </row>
    <row r="3" ht="20" customHeight="1">
      <c r="A3" s="1" t="n"/>
      <c r="B3" s="3" t="inlineStr">
        <is>
          <t>Now’s your time to shine!</t>
        </is>
      </c>
      <c r="C3" s="1" t="n"/>
      <c r="D3" s="1" t="n"/>
      <c r="E3" s="1" t="n"/>
      <c r="F3" s="1" t="n"/>
      <c r="G3" s="1" t="n"/>
      <c r="H3" s="1" t="n"/>
      <c r="I3" s="1" t="n"/>
      <c r="J3" s="1" t="n"/>
      <c r="K3" s="1" t="n"/>
    </row>
    <row r="4" ht="12" customHeight="1">
      <c r="A4" s="1" t="n"/>
      <c r="B4" s="1" t="n"/>
      <c r="C4" s="1" t="n"/>
      <c r="D4" s="1" t="n"/>
      <c r="E4" s="1" t="n"/>
      <c r="F4" s="1" t="n"/>
      <c r="G4" s="1" t="n"/>
      <c r="H4" s="1" t="n"/>
      <c r="I4" s="1" t="n"/>
      <c r="J4" s="1" t="n"/>
      <c r="K4" s="1" t="n"/>
    </row>
    <row r="5" ht="46.4" customHeight="1">
      <c r="B5" s="69" t="inlineStr">
        <is>
          <t>This one is for you to do! We started the columns for you: list the apps on your phone and computers, order them by security category, and delete anything you don’t need.</t>
        </is>
      </c>
    </row>
    <row r="6" ht="40.4" customHeight="1">
      <c r="B6" s="59" t="inlineStr">
        <is>
          <t>Application</t>
        </is>
      </c>
      <c r="C6" s="60" t="inlineStr">
        <is>
          <t>Security Category</t>
        </is>
      </c>
      <c r="D6" s="60" t="inlineStr">
        <is>
          <t>Up to Date</t>
        </is>
      </c>
      <c r="E6" s="60" t="inlineStr">
        <is>
          <t>Official Source</t>
        </is>
      </c>
      <c r="F6" s="60" t="inlineStr">
        <is>
          <t>Permissions Reviewed</t>
        </is>
      </c>
      <c r="G6" s="60" t="inlineStr">
        <is>
          <t>Sign-in Protected</t>
        </is>
      </c>
      <c r="H6" s="60" t="inlineStr">
        <is>
          <t>Still Needed</t>
        </is>
      </c>
      <c r="I6" s="60" t="inlineStr">
        <is>
          <t>Gaps</t>
        </is>
      </c>
      <c r="J6" s="60" t="inlineStr">
        <is>
          <t>Priority</t>
        </is>
      </c>
    </row>
    <row r="7" ht="20" customHeight="1">
      <c r="B7" s="61" t="inlineStr">
        <is>
          <t>Example: banking app</t>
        </is>
      </c>
      <c r="C7" s="62" t="inlineStr">
        <is>
          <t>High</t>
        </is>
      </c>
      <c r="D7" s="62" t="inlineStr">
        <is>
          <t>Yes</t>
        </is>
      </c>
      <c r="E7" s="62" t="inlineStr">
        <is>
          <t>Yes</t>
        </is>
      </c>
      <c r="F7" s="62" t="inlineStr">
        <is>
          <t>Yes</t>
        </is>
      </c>
      <c r="G7" s="62" t="inlineStr">
        <is>
          <t>Yes</t>
        </is>
      </c>
      <c r="H7" s="62" t="inlineStr">
        <is>
          <t>Yes</t>
        </is>
      </c>
      <c r="I7" s="63">
        <f>IF(B7="","",(D7="No")+(E7="No")+(F7="No")+(G7="No")+(H7="No"))</f>
        <v/>
      </c>
      <c r="J7" s="64">
        <f>IF(B7="","",IF(I7=0,"Done",IF(C7="High","Fix first",IF(C7="Moderate","Fix next",IF(C7="Low","Later","Set category")))))</f>
        <v/>
      </c>
    </row>
    <row r="8" ht="20" customHeight="1">
      <c r="B8" s="65" t="n"/>
      <c r="C8" s="66" t="n"/>
      <c r="D8" s="66" t="n"/>
      <c r="E8" s="66" t="n"/>
      <c r="F8" s="66" t="n"/>
      <c r="G8" s="66" t="n"/>
      <c r="H8" s="66" t="n"/>
      <c r="I8" s="67">
        <f>IF(B8="","",(D8="No")+(E8="No")+(F8="No")+(G8="No")+(H8="No"))</f>
        <v/>
      </c>
      <c r="J8" s="68">
        <f>IF(B8="","",IF(I8=0,"Done",IF(C8="High","Fix first",IF(C8="Moderate","Fix next",IF(C8="Low","Later","Set category")))))</f>
        <v/>
      </c>
    </row>
    <row r="9" ht="20" customHeight="1">
      <c r="B9" s="65" t="n"/>
      <c r="C9" s="66" t="n"/>
      <c r="D9" s="66" t="n"/>
      <c r="E9" s="66" t="n"/>
      <c r="F9" s="66" t="n"/>
      <c r="G9" s="66" t="n"/>
      <c r="H9" s="66" t="n"/>
      <c r="I9" s="67">
        <f>IF(B9="","",(D9="No")+(E9="No")+(F9="No")+(G9="No")+(H9="No"))</f>
        <v/>
      </c>
      <c r="J9" s="68">
        <f>IF(B9="","",IF(I9=0,"Done",IF(C9="High","Fix first",IF(C9="Moderate","Fix next",IF(C9="Low","Later","Set category")))))</f>
        <v/>
      </c>
    </row>
    <row r="10" ht="20" customHeight="1">
      <c r="B10" s="65" t="n"/>
      <c r="C10" s="66" t="n"/>
      <c r="D10" s="66" t="n"/>
      <c r="E10" s="66" t="n"/>
      <c r="F10" s="66" t="n"/>
      <c r="G10" s="66" t="n"/>
      <c r="H10" s="66" t="n"/>
      <c r="I10" s="67">
        <f>IF(B10="","",(D10="No")+(E10="No")+(F10="No")+(G10="No")+(H10="No"))</f>
        <v/>
      </c>
      <c r="J10" s="68">
        <f>IF(B10="","",IF(I10=0,"Done",IF(C10="High","Fix first",IF(C10="Moderate","Fix next",IF(C10="Low","Later","Set category")))))</f>
        <v/>
      </c>
    </row>
    <row r="11" ht="20" customHeight="1">
      <c r="B11" s="65" t="n"/>
      <c r="C11" s="66" t="n"/>
      <c r="D11" s="66" t="n"/>
      <c r="E11" s="66" t="n"/>
      <c r="F11" s="66" t="n"/>
      <c r="G11" s="66" t="n"/>
      <c r="H11" s="66" t="n"/>
      <c r="I11" s="67">
        <f>IF(B11="","",(D11="No")+(E11="No")+(F11="No")+(G11="No")+(H11="No"))</f>
        <v/>
      </c>
      <c r="J11" s="68">
        <f>IF(B11="","",IF(I11=0,"Done",IF(C11="High","Fix first",IF(C11="Moderate","Fix next",IF(C11="Low","Later","Set category")))))</f>
        <v/>
      </c>
    </row>
    <row r="12" ht="20" customHeight="1">
      <c r="B12" s="65" t="n"/>
      <c r="C12" s="66" t="n"/>
      <c r="D12" s="66" t="n"/>
      <c r="E12" s="66" t="n"/>
      <c r="F12" s="66" t="n"/>
      <c r="G12" s="66" t="n"/>
      <c r="H12" s="66" t="n"/>
      <c r="I12" s="67">
        <f>IF(B12="","",(D12="No")+(E12="No")+(F12="No")+(G12="No")+(H12="No"))</f>
        <v/>
      </c>
      <c r="J12" s="68">
        <f>IF(B12="","",IF(I12=0,"Done",IF(C12="High","Fix first",IF(C12="Moderate","Fix next",IF(C12="Low","Later","Set category")))))</f>
        <v/>
      </c>
    </row>
    <row r="13" ht="20" customHeight="1">
      <c r="B13" s="65" t="n"/>
      <c r="C13" s="66" t="n"/>
      <c r="D13" s="66" t="n"/>
      <c r="E13" s="66" t="n"/>
      <c r="F13" s="66" t="n"/>
      <c r="G13" s="66" t="n"/>
      <c r="H13" s="66" t="n"/>
      <c r="I13" s="67">
        <f>IF(B13="","",(D13="No")+(E13="No")+(F13="No")+(G13="No")+(H13="No"))</f>
        <v/>
      </c>
      <c r="J13" s="68">
        <f>IF(B13="","",IF(I13=0,"Done",IF(C13="High","Fix first",IF(C13="Moderate","Fix next",IF(C13="Low","Later","Set category")))))</f>
        <v/>
      </c>
    </row>
    <row r="14" ht="20" customHeight="1">
      <c r="B14" s="65" t="n"/>
      <c r="C14" s="66" t="n"/>
      <c r="D14" s="66" t="n"/>
      <c r="E14" s="66" t="n"/>
      <c r="F14" s="66" t="n"/>
      <c r="G14" s="66" t="n"/>
      <c r="H14" s="66" t="n"/>
      <c r="I14" s="67">
        <f>IF(B14="","",(D14="No")+(E14="No")+(F14="No")+(G14="No")+(H14="No"))</f>
        <v/>
      </c>
      <c r="J14" s="68">
        <f>IF(B14="","",IF(I14=0,"Done",IF(C14="High","Fix first",IF(C14="Moderate","Fix next",IF(C14="Low","Later","Set category")))))</f>
        <v/>
      </c>
    </row>
    <row r="15" ht="20" customHeight="1">
      <c r="B15" s="65" t="n"/>
      <c r="C15" s="66" t="n"/>
      <c r="D15" s="66" t="n"/>
      <c r="E15" s="66" t="n"/>
      <c r="F15" s="66" t="n"/>
      <c r="G15" s="66" t="n"/>
      <c r="H15" s="66" t="n"/>
      <c r="I15" s="67">
        <f>IF(B15="","",(D15="No")+(E15="No")+(F15="No")+(G15="No")+(H15="No"))</f>
        <v/>
      </c>
      <c r="J15" s="68">
        <f>IF(B15="","",IF(I15=0,"Done",IF(C15="High","Fix first",IF(C15="Moderate","Fix next",IF(C15="Low","Later","Set category")))))</f>
        <v/>
      </c>
    </row>
    <row r="16" ht="20" customHeight="1">
      <c r="B16" s="65" t="n"/>
      <c r="C16" s="66" t="n"/>
      <c r="D16" s="66" t="n"/>
      <c r="E16" s="66" t="n"/>
      <c r="F16" s="66" t="n"/>
      <c r="G16" s="66" t="n"/>
      <c r="H16" s="66" t="n"/>
      <c r="I16" s="67">
        <f>IF(B16="","",(D16="No")+(E16="No")+(F16="No")+(G16="No")+(H16="No"))</f>
        <v/>
      </c>
      <c r="J16" s="68">
        <f>IF(B16="","",IF(I16=0,"Done",IF(C16="High","Fix first",IF(C16="Moderate","Fix next",IF(C16="Low","Later","Set category")))))</f>
        <v/>
      </c>
    </row>
    <row r="17" ht="20" customHeight="1">
      <c r="B17" s="65" t="n"/>
      <c r="C17" s="66" t="n"/>
      <c r="D17" s="66" t="n"/>
      <c r="E17" s="66" t="n"/>
      <c r="F17" s="66" t="n"/>
      <c r="G17" s="66" t="n"/>
      <c r="H17" s="66" t="n"/>
      <c r="I17" s="67">
        <f>IF(B17="","",(D17="No")+(E17="No")+(F17="No")+(G17="No")+(H17="No"))</f>
        <v/>
      </c>
      <c r="J17" s="68">
        <f>IF(B17="","",IF(I17=0,"Done",IF(C17="High","Fix first",IF(C17="Moderate","Fix next",IF(C17="Low","Later","Set category")))))</f>
        <v/>
      </c>
    </row>
    <row r="18" ht="20" customHeight="1">
      <c r="B18" s="65" t="n"/>
      <c r="C18" s="66" t="n"/>
      <c r="D18" s="66" t="n"/>
      <c r="E18" s="66" t="n"/>
      <c r="F18" s="66" t="n"/>
      <c r="G18" s="66" t="n"/>
      <c r="H18" s="66" t="n"/>
      <c r="I18" s="67">
        <f>IF(B18="","",(D18="No")+(E18="No")+(F18="No")+(G18="No")+(H18="No"))</f>
        <v/>
      </c>
      <c r="J18" s="68">
        <f>IF(B18="","",IF(I18=0,"Done",IF(C18="High","Fix first",IF(C18="Moderate","Fix next",IF(C18="Low","Later","Set category")))))</f>
        <v/>
      </c>
    </row>
    <row r="19" ht="20" customHeight="1">
      <c r="B19" s="65" t="n"/>
      <c r="C19" s="66" t="n"/>
      <c r="D19" s="66" t="n"/>
      <c r="E19" s="66" t="n"/>
      <c r="F19" s="66" t="n"/>
      <c r="G19" s="66" t="n"/>
      <c r="H19" s="66" t="n"/>
      <c r="I19" s="67">
        <f>IF(B19="","",(D19="No")+(E19="No")+(F19="No")+(G19="No")+(H19="No"))</f>
        <v/>
      </c>
      <c r="J19" s="68">
        <f>IF(B19="","",IF(I19=0,"Done",IF(C19="High","Fix first",IF(C19="Moderate","Fix next",IF(C19="Low","Later","Set category")))))</f>
        <v/>
      </c>
    </row>
    <row r="20" ht="20" customHeight="1">
      <c r="B20" s="65" t="n"/>
      <c r="C20" s="66" t="n"/>
      <c r="D20" s="66" t="n"/>
      <c r="E20" s="66" t="n"/>
      <c r="F20" s="66" t="n"/>
      <c r="G20" s="66" t="n"/>
      <c r="H20" s="66" t="n"/>
      <c r="I20" s="67">
        <f>IF(B20="","",(D20="No")+(E20="No")+(F20="No")+(G20="No")+(H20="No"))</f>
        <v/>
      </c>
      <c r="J20" s="68">
        <f>IF(B20="","",IF(I20=0,"Done",IF(C20="High","Fix first",IF(C20="Moderate","Fix next",IF(C20="Low","Later","Set category")))))</f>
        <v/>
      </c>
    </row>
    <row r="21" ht="20" customHeight="1">
      <c r="B21" s="65" t="n"/>
      <c r="C21" s="66" t="n"/>
      <c r="D21" s="66" t="n"/>
      <c r="E21" s="66" t="n"/>
      <c r="F21" s="66" t="n"/>
      <c r="G21" s="66" t="n"/>
      <c r="H21" s="66" t="n"/>
      <c r="I21" s="67">
        <f>IF(B21="","",(D21="No")+(E21="No")+(F21="No")+(G21="No")+(H21="No"))</f>
        <v/>
      </c>
      <c r="J21" s="68">
        <f>IF(B21="","",IF(I21=0,"Done",IF(C21="High","Fix first",IF(C21="Moderate","Fix next",IF(C21="Low","Later","Set category")))))</f>
        <v/>
      </c>
    </row>
    <row r="22" ht="20" customHeight="1">
      <c r="B22" s="65" t="n"/>
      <c r="C22" s="66" t="n"/>
      <c r="D22" s="66" t="n"/>
      <c r="E22" s="66" t="n"/>
      <c r="F22" s="66" t="n"/>
      <c r="G22" s="66" t="n"/>
      <c r="H22" s="66" t="n"/>
      <c r="I22" s="67">
        <f>IF(B22="","",(D22="No")+(E22="No")+(F22="No")+(G22="No")+(H22="No"))</f>
        <v/>
      </c>
      <c r="J22" s="68">
        <f>IF(B22="","",IF(I22=0,"Done",IF(C22="High","Fix first",IF(C22="Moderate","Fix next",IF(C22="Low","Later","Set category")))))</f>
        <v/>
      </c>
    </row>
    <row r="23" ht="20" customHeight="1">
      <c r="B23" s="65" t="n"/>
      <c r="C23" s="66" t="n"/>
      <c r="D23" s="66" t="n"/>
      <c r="E23" s="66" t="n"/>
      <c r="F23" s="66" t="n"/>
      <c r="G23" s="66" t="n"/>
      <c r="H23" s="66" t="n"/>
      <c r="I23" s="67">
        <f>IF(B23="","",(D23="No")+(E23="No")+(F23="No")+(G23="No")+(H23="No"))</f>
        <v/>
      </c>
      <c r="J23" s="68">
        <f>IF(B23="","",IF(I23=0,"Done",IF(C23="High","Fix first",IF(C23="Moderate","Fix next",IF(C23="Low","Later","Set category")))))</f>
        <v/>
      </c>
    </row>
    <row r="24" ht="20" customHeight="1">
      <c r="B24" s="65" t="n"/>
      <c r="C24" s="66" t="n"/>
      <c r="D24" s="66" t="n"/>
      <c r="E24" s="66" t="n"/>
      <c r="F24" s="66" t="n"/>
      <c r="G24" s="66" t="n"/>
      <c r="H24" s="66" t="n"/>
      <c r="I24" s="67">
        <f>IF(B24="","",(D24="No")+(E24="No")+(F24="No")+(G24="No")+(H24="No"))</f>
        <v/>
      </c>
      <c r="J24" s="68">
        <f>IF(B24="","",IF(I24=0,"Done",IF(C24="High","Fix first",IF(C24="Moderate","Fix next",IF(C24="Low","Later","Set category")))))</f>
        <v/>
      </c>
    </row>
    <row r="25" ht="20" customHeight="1">
      <c r="B25" s="65" t="n"/>
      <c r="C25" s="66" t="n"/>
      <c r="D25" s="66" t="n"/>
      <c r="E25" s="66" t="n"/>
      <c r="F25" s="66" t="n"/>
      <c r="G25" s="66" t="n"/>
      <c r="H25" s="66" t="n"/>
      <c r="I25" s="67">
        <f>IF(B25="","",(D25="No")+(E25="No")+(F25="No")+(G25="No")+(H25="No"))</f>
        <v/>
      </c>
      <c r="J25" s="68">
        <f>IF(B25="","",IF(I25=0,"Done",IF(C25="High","Fix first",IF(C25="Moderate","Fix next",IF(C25="Low","Later","Set category")))))</f>
        <v/>
      </c>
    </row>
    <row r="26" ht="20" customHeight="1">
      <c r="B26" s="65" t="n"/>
      <c r="C26" s="66" t="n"/>
      <c r="D26" s="66" t="n"/>
      <c r="E26" s="66" t="n"/>
      <c r="F26" s="66" t="n"/>
      <c r="G26" s="66" t="n"/>
      <c r="H26" s="66" t="n"/>
      <c r="I26" s="67">
        <f>IF(B26="","",(D26="No")+(E26="No")+(F26="No")+(G26="No")+(H26="No"))</f>
        <v/>
      </c>
      <c r="J26" s="68">
        <f>IF(B26="","",IF(I26=0,"Done",IF(C26="High","Fix first",IF(C26="Moderate","Fix next",IF(C26="Low","Later","Set category")))))</f>
        <v/>
      </c>
    </row>
    <row r="27" ht="20" customHeight="1">
      <c r="B27" s="65" t="n"/>
      <c r="C27" s="66" t="n"/>
      <c r="D27" s="66" t="n"/>
      <c r="E27" s="66" t="n"/>
      <c r="F27" s="66" t="n"/>
      <c r="G27" s="66" t="n"/>
      <c r="H27" s="66" t="n"/>
      <c r="I27" s="67">
        <f>IF(B27="","",(D27="No")+(E27="No")+(F27="No")+(G27="No")+(H27="No"))</f>
        <v/>
      </c>
      <c r="J27" s="68">
        <f>IF(B27="","",IF(I27=0,"Done",IF(C27="High","Fix first",IF(C27="Moderate","Fix next",IF(C27="Low","Later","Set category")))))</f>
        <v/>
      </c>
    </row>
    <row r="28" ht="20" customHeight="1">
      <c r="B28" s="65" t="n"/>
      <c r="C28" s="66" t="n"/>
      <c r="D28" s="66" t="n"/>
      <c r="E28" s="66" t="n"/>
      <c r="F28" s="66" t="n"/>
      <c r="G28" s="66" t="n"/>
      <c r="H28" s="66" t="n"/>
      <c r="I28" s="67">
        <f>IF(B28="","",(D28="No")+(E28="No")+(F28="No")+(G28="No")+(H28="No"))</f>
        <v/>
      </c>
      <c r="J28" s="68">
        <f>IF(B28="","",IF(I28=0,"Done",IF(C28="High","Fix first",IF(C28="Moderate","Fix next",IF(C28="Low","Later","Set category")))))</f>
        <v/>
      </c>
    </row>
    <row r="29" ht="20" customHeight="1">
      <c r="B29" s="65" t="n"/>
      <c r="C29" s="66" t="n"/>
      <c r="D29" s="66" t="n"/>
      <c r="E29" s="66" t="n"/>
      <c r="F29" s="66" t="n"/>
      <c r="G29" s="66" t="n"/>
      <c r="H29" s="66" t="n"/>
      <c r="I29" s="67">
        <f>IF(B29="","",(D29="No")+(E29="No")+(F29="No")+(G29="No")+(H29="No"))</f>
        <v/>
      </c>
      <c r="J29" s="68">
        <f>IF(B29="","",IF(I29=0,"Done",IF(C29="High","Fix first",IF(C29="Moderate","Fix next",IF(C29="Low","Later","Set category")))))</f>
        <v/>
      </c>
    </row>
    <row r="30" ht="20" customHeight="1">
      <c r="B30" s="65" t="n"/>
      <c r="C30" s="66" t="n"/>
      <c r="D30" s="66" t="n"/>
      <c r="E30" s="66" t="n"/>
      <c r="F30" s="66" t="n"/>
      <c r="G30" s="66" t="n"/>
      <c r="H30" s="66" t="n"/>
      <c r="I30" s="67">
        <f>IF(B30="","",(D30="No")+(E30="No")+(F30="No")+(G30="No")+(H30="No"))</f>
        <v/>
      </c>
      <c r="J30" s="68">
        <f>IF(B30="","",IF(I30=0,"Done",IF(C30="High","Fix first",IF(C30="Moderate","Fix next",IF(C30="Low","Later","Set category")))))</f>
        <v/>
      </c>
    </row>
    <row r="31" ht="20" customHeight="1">
      <c r="B31" s="65" t="n"/>
      <c r="C31" s="66" t="n"/>
      <c r="D31" s="66" t="n"/>
      <c r="E31" s="66" t="n"/>
      <c r="F31" s="66" t="n"/>
      <c r="G31" s="66" t="n"/>
      <c r="H31" s="66" t="n"/>
      <c r="I31" s="67">
        <f>IF(B31="","",(D31="No")+(E31="No")+(F31="No")+(G31="No")+(H31="No"))</f>
        <v/>
      </c>
      <c r="J31" s="68">
        <f>IF(B31="","",IF(I31=0,"Done",IF(C31="High","Fix first",IF(C31="Moderate","Fix next",IF(C31="Low","Later","Set category")))))</f>
        <v/>
      </c>
    </row>
    <row r="32" ht="20" customHeight="1">
      <c r="B32" s="65" t="n"/>
      <c r="C32" s="66" t="n"/>
      <c r="D32" s="66" t="n"/>
      <c r="E32" s="66" t="n"/>
      <c r="F32" s="66" t="n"/>
      <c r="G32" s="66" t="n"/>
      <c r="H32" s="66" t="n"/>
      <c r="I32" s="67">
        <f>IF(B32="","",(D32="No")+(E32="No")+(F32="No")+(G32="No")+(H32="No"))</f>
        <v/>
      </c>
      <c r="J32" s="68">
        <f>IF(B32="","",IF(I32=0,"Done",IF(C32="High","Fix first",IF(C32="Moderate","Fix next",IF(C32="Low","Later","Set category")))))</f>
        <v/>
      </c>
    </row>
    <row r="33" ht="20" customHeight="1">
      <c r="B33" s="65" t="n"/>
      <c r="C33" s="66" t="n"/>
      <c r="D33" s="66" t="n"/>
      <c r="E33" s="66" t="n"/>
      <c r="F33" s="66" t="n"/>
      <c r="G33" s="66" t="n"/>
      <c r="H33" s="66" t="n"/>
      <c r="I33" s="67">
        <f>IF(B33="","",(D33="No")+(E33="No")+(F33="No")+(G33="No")+(H33="No"))</f>
        <v/>
      </c>
      <c r="J33" s="68">
        <f>IF(B33="","",IF(I33=0,"Done",IF(C33="High","Fix first",IF(C33="Moderate","Fix next",IF(C33="Low","Later","Set category")))))</f>
        <v/>
      </c>
    </row>
    <row r="34" ht="20" customHeight="1">
      <c r="B34" s="65" t="n"/>
      <c r="C34" s="66" t="n"/>
      <c r="D34" s="66" t="n"/>
      <c r="E34" s="66" t="n"/>
      <c r="F34" s="66" t="n"/>
      <c r="G34" s="66" t="n"/>
      <c r="H34" s="66" t="n"/>
      <c r="I34" s="67">
        <f>IF(B34="","",(D34="No")+(E34="No")+(F34="No")+(G34="No")+(H34="No"))</f>
        <v/>
      </c>
      <c r="J34" s="68">
        <f>IF(B34="","",IF(I34=0,"Done",IF(C34="High","Fix first",IF(C34="Moderate","Fix next",IF(C34="Low","Later","Set category")))))</f>
        <v/>
      </c>
    </row>
    <row r="35" ht="20" customHeight="1">
      <c r="B35" s="65" t="n"/>
      <c r="C35" s="66" t="n"/>
      <c r="D35" s="66" t="n"/>
      <c r="E35" s="66" t="n"/>
      <c r="F35" s="66" t="n"/>
      <c r="G35" s="66" t="n"/>
      <c r="H35" s="66" t="n"/>
      <c r="I35" s="67">
        <f>IF(B35="","",(D35="No")+(E35="No")+(F35="No")+(G35="No")+(H35="No"))</f>
        <v/>
      </c>
      <c r="J35" s="68">
        <f>IF(B35="","",IF(I35=0,"Done",IF(C35="High","Fix first",IF(C35="Moderate","Fix next",IF(C35="Low","Later","Set category")))))</f>
        <v/>
      </c>
    </row>
    <row r="36" ht="20" customHeight="1">
      <c r="B36" s="65" t="n"/>
      <c r="C36" s="66" t="n"/>
      <c r="D36" s="66" t="n"/>
      <c r="E36" s="66" t="n"/>
      <c r="F36" s="66" t="n"/>
      <c r="G36" s="66" t="n"/>
      <c r="H36" s="66" t="n"/>
      <c r="I36" s="67">
        <f>IF(B36="","",(D36="No")+(E36="No")+(F36="No")+(G36="No")+(H36="No"))</f>
        <v/>
      </c>
      <c r="J36" s="68">
        <f>IF(B36="","",IF(I36=0,"Done",IF(C36="High","Fix first",IF(C36="Moderate","Fix next",IF(C36="Low","Later","Set category")))))</f>
        <v/>
      </c>
    </row>
    <row r="37" ht="20" customHeight="1">
      <c r="B37" s="65" t="n"/>
      <c r="C37" s="66" t="n"/>
      <c r="D37" s="66" t="n"/>
      <c r="E37" s="66" t="n"/>
      <c r="F37" s="66" t="n"/>
      <c r="G37" s="66" t="n"/>
      <c r="H37" s="66" t="n"/>
      <c r="I37" s="67">
        <f>IF(B37="","",(D37="No")+(E37="No")+(F37="No")+(G37="No")+(H37="No"))</f>
        <v/>
      </c>
      <c r="J37" s="68">
        <f>IF(B37="","",IF(I37=0,"Done",IF(C37="High","Fix first",IF(C37="Moderate","Fix next",IF(C37="Low","Later","Set category")))))</f>
        <v/>
      </c>
    </row>
    <row r="38" ht="20" customHeight="1">
      <c r="B38" s="65" t="n"/>
      <c r="C38" s="66" t="n"/>
      <c r="D38" s="66" t="n"/>
      <c r="E38" s="66" t="n"/>
      <c r="F38" s="66" t="n"/>
      <c r="G38" s="66" t="n"/>
      <c r="H38" s="66" t="n"/>
      <c r="I38" s="67">
        <f>IF(B38="","",(D38="No")+(E38="No")+(F38="No")+(G38="No")+(H38="No"))</f>
        <v/>
      </c>
      <c r="J38" s="68">
        <f>IF(B38="","",IF(I38=0,"Done",IF(C38="High","Fix first",IF(C38="Moderate","Fix next",IF(C38="Low","Later","Set category")))))</f>
        <v/>
      </c>
    </row>
    <row r="39" ht="20" customHeight="1">
      <c r="B39" s="65" t="n"/>
      <c r="C39" s="66" t="n"/>
      <c r="D39" s="66" t="n"/>
      <c r="E39" s="66" t="n"/>
      <c r="F39" s="66" t="n"/>
      <c r="G39" s="66" t="n"/>
      <c r="H39" s="66" t="n"/>
      <c r="I39" s="67">
        <f>IF(B39="","",(D39="No")+(E39="No")+(F39="No")+(G39="No")+(H39="No"))</f>
        <v/>
      </c>
      <c r="J39" s="68">
        <f>IF(B39="","",IF(I39=0,"Done",IF(C39="High","Fix first",IF(C39="Moderate","Fix next",IF(C39="Low","Later","Set category")))))</f>
        <v/>
      </c>
    </row>
    <row r="40" ht="20" customHeight="1">
      <c r="B40" s="65" t="n"/>
      <c r="C40" s="66" t="n"/>
      <c r="D40" s="66" t="n"/>
      <c r="E40" s="66" t="n"/>
      <c r="F40" s="66" t="n"/>
      <c r="G40" s="66" t="n"/>
      <c r="H40" s="66" t="n"/>
      <c r="I40" s="67">
        <f>IF(B40="","",(D40="No")+(E40="No")+(F40="No")+(G40="No")+(H40="No"))</f>
        <v/>
      </c>
      <c r="J40" s="68">
        <f>IF(B40="","",IF(I40=0,"Done",IF(C40="High","Fix first",IF(C40="Moderate","Fix next",IF(C40="Low","Later","Set category")))))</f>
        <v/>
      </c>
    </row>
    <row r="41" ht="20" customHeight="1">
      <c r="B41" s="65" t="n"/>
      <c r="C41" s="66" t="n"/>
      <c r="D41" s="66" t="n"/>
      <c r="E41" s="66" t="n"/>
      <c r="F41" s="66" t="n"/>
      <c r="G41" s="66" t="n"/>
      <c r="H41" s="66" t="n"/>
      <c r="I41" s="67">
        <f>IF(B41="","",(D41="No")+(E41="No")+(F41="No")+(G41="No")+(H41="No"))</f>
        <v/>
      </c>
      <c r="J41" s="68">
        <f>IF(B41="","",IF(I41=0,"Done",IF(C41="High","Fix first",IF(C41="Moderate","Fix next",IF(C41="Low","Later","Set category")))))</f>
        <v/>
      </c>
    </row>
    <row r="42" ht="20" customHeight="1">
      <c r="B42" s="65" t="n"/>
      <c r="C42" s="66" t="n"/>
      <c r="D42" s="66" t="n"/>
      <c r="E42" s="66" t="n"/>
      <c r="F42" s="66" t="n"/>
      <c r="G42" s="66" t="n"/>
      <c r="H42" s="66" t="n"/>
      <c r="I42" s="67">
        <f>IF(B42="","",(D42="No")+(E42="No")+(F42="No")+(G42="No")+(H42="No"))</f>
        <v/>
      </c>
      <c r="J42" s="68">
        <f>IF(B42="","",IF(I42=0,"Done",IF(C42="High","Fix first",IF(C42="Moderate","Fix next",IF(C42="Low","Later","Set category")))))</f>
        <v/>
      </c>
    </row>
    <row r="43" ht="20" customHeight="1">
      <c r="B43" s="65" t="n"/>
      <c r="C43" s="66" t="n"/>
      <c r="D43" s="66" t="n"/>
      <c r="E43" s="66" t="n"/>
      <c r="F43" s="66" t="n"/>
      <c r="G43" s="66" t="n"/>
      <c r="H43" s="66" t="n"/>
      <c r="I43" s="67">
        <f>IF(B43="","",(D43="No")+(E43="No")+(F43="No")+(G43="No")+(H43="No"))</f>
        <v/>
      </c>
      <c r="J43" s="68">
        <f>IF(B43="","",IF(I43=0,"Done",IF(C43="High","Fix first",IF(C43="Moderate","Fix next",IF(C43="Low","Later","Set category")))))</f>
        <v/>
      </c>
    </row>
    <row r="44" ht="20" customHeight="1">
      <c r="B44" s="65" t="n"/>
      <c r="C44" s="66" t="n"/>
      <c r="D44" s="66" t="n"/>
      <c r="E44" s="66" t="n"/>
      <c r="F44" s="66" t="n"/>
      <c r="G44" s="66" t="n"/>
      <c r="H44" s="66" t="n"/>
      <c r="I44" s="67">
        <f>IF(B44="","",(D44="No")+(E44="No")+(F44="No")+(G44="No")+(H44="No"))</f>
        <v/>
      </c>
      <c r="J44" s="68">
        <f>IF(B44="","",IF(I44=0,"Done",IF(C44="High","Fix first",IF(C44="Moderate","Fix next",IF(C44="Low","Later","Set category")))))</f>
        <v/>
      </c>
    </row>
    <row r="45" ht="20" customHeight="1">
      <c r="B45" s="65" t="n"/>
      <c r="C45" s="66" t="n"/>
      <c r="D45" s="66" t="n"/>
      <c r="E45" s="66" t="n"/>
      <c r="F45" s="66" t="n"/>
      <c r="G45" s="66" t="n"/>
      <c r="H45" s="66" t="n"/>
      <c r="I45" s="67">
        <f>IF(B45="","",(D45="No")+(E45="No")+(F45="No")+(G45="No")+(H45="No"))</f>
        <v/>
      </c>
      <c r="J45" s="68">
        <f>IF(B45="","",IF(I45=0,"Done",IF(C45="High","Fix first",IF(C45="Moderate","Fix next",IF(C45="Low","Later","Set category")))))</f>
        <v/>
      </c>
    </row>
    <row r="46" ht="20" customHeight="1">
      <c r="B46" s="65" t="n"/>
      <c r="C46" s="66" t="n"/>
      <c r="D46" s="66" t="n"/>
      <c r="E46" s="66" t="n"/>
      <c r="F46" s="66" t="n"/>
      <c r="G46" s="66" t="n"/>
      <c r="H46" s="66" t="n"/>
      <c r="I46" s="67">
        <f>IF(B46="","",(D46="No")+(E46="No")+(F46="No")+(G46="No")+(H46="No"))</f>
        <v/>
      </c>
      <c r="J46" s="68">
        <f>IF(B46="","",IF(I46=0,"Done",IF(C46="High","Fix first",IF(C46="Moderate","Fix next",IF(C46="Low","Later","Set category")))))</f>
        <v/>
      </c>
    </row>
    <row r="47" ht="20" customHeight="1">
      <c r="B47" s="65" t="n"/>
      <c r="C47" s="66" t="n"/>
      <c r="D47" s="66" t="n"/>
      <c r="E47" s="66" t="n"/>
      <c r="F47" s="66" t="n"/>
      <c r="G47" s="66" t="n"/>
      <c r="H47" s="66" t="n"/>
      <c r="I47" s="67">
        <f>IF(B47="","",(D47="No")+(E47="No")+(F47="No")+(G47="No")+(H47="No"))</f>
        <v/>
      </c>
      <c r="J47" s="68">
        <f>IF(B47="","",IF(I47=0,"Done",IF(C47="High","Fix first",IF(C47="Moderate","Fix next",IF(C47="Low","Later","Set category")))))</f>
        <v/>
      </c>
    </row>
    <row r="48" ht="20" customHeight="1">
      <c r="B48" s="65" t="n"/>
      <c r="C48" s="66" t="n"/>
      <c r="D48" s="66" t="n"/>
      <c r="E48" s="66" t="n"/>
      <c r="F48" s="66" t="n"/>
      <c r="G48" s="66" t="n"/>
      <c r="H48" s="66" t="n"/>
      <c r="I48" s="67">
        <f>IF(B48="","",(D48="No")+(E48="No")+(F48="No")+(G48="No")+(H48="No"))</f>
        <v/>
      </c>
      <c r="J48" s="68">
        <f>IF(B48="","",IF(I48=0,"Done",IF(C48="High","Fix first",IF(C48="Moderate","Fix next",IF(C48="Low","Later","Set category")))))</f>
        <v/>
      </c>
    </row>
    <row r="49" ht="20" customHeight="1">
      <c r="B49" s="65" t="n"/>
      <c r="C49" s="66" t="n"/>
      <c r="D49" s="66" t="n"/>
      <c r="E49" s="66" t="n"/>
      <c r="F49" s="66" t="n"/>
      <c r="G49" s="66" t="n"/>
      <c r="H49" s="66" t="n"/>
      <c r="I49" s="67">
        <f>IF(B49="","",(D49="No")+(E49="No")+(F49="No")+(G49="No")+(H49="No"))</f>
        <v/>
      </c>
      <c r="J49" s="68">
        <f>IF(B49="","",IF(I49=0,"Done",IF(C49="High","Fix first",IF(C49="Moderate","Fix next",IF(C49="Low","Later","Set category")))))</f>
        <v/>
      </c>
    </row>
    <row r="50" ht="20" customHeight="1">
      <c r="B50" s="65" t="n"/>
      <c r="C50" s="66" t="n"/>
      <c r="D50" s="66" t="n"/>
      <c r="E50" s="66" t="n"/>
      <c r="F50" s="66" t="n"/>
      <c r="G50" s="66" t="n"/>
      <c r="H50" s="66" t="n"/>
      <c r="I50" s="67">
        <f>IF(B50="","",(D50="No")+(E50="No")+(F50="No")+(G50="No")+(H50="No"))</f>
        <v/>
      </c>
      <c r="J50" s="68">
        <f>IF(B50="","",IF(I50=0,"Done",IF(C50="High","Fix first",IF(C50="Moderate","Fix next",IF(C50="Low","Later","Set category")))))</f>
        <v/>
      </c>
    </row>
    <row r="51" ht="20" customHeight="1">
      <c r="B51" s="65" t="n"/>
      <c r="C51" s="66" t="n"/>
      <c r="D51" s="66" t="n"/>
      <c r="E51" s="66" t="n"/>
      <c r="F51" s="66" t="n"/>
      <c r="G51" s="66" t="n"/>
      <c r="H51" s="66" t="n"/>
      <c r="I51" s="67">
        <f>IF(B51="","",(D51="No")+(E51="No")+(F51="No")+(G51="No")+(H51="No"))</f>
        <v/>
      </c>
      <c r="J51" s="68">
        <f>IF(B51="","",IF(I51=0,"Done",IF(C51="High","Fix first",IF(C51="Moderate","Fix next",IF(C51="Low","Later","Set category")))))</f>
        <v/>
      </c>
    </row>
    <row r="52" ht="20" customHeight="1">
      <c r="B52" s="65" t="n"/>
      <c r="C52" s="66" t="n"/>
      <c r="D52" s="66" t="n"/>
      <c r="E52" s="66" t="n"/>
      <c r="F52" s="66" t="n"/>
      <c r="G52" s="66" t="n"/>
      <c r="H52" s="66" t="n"/>
      <c r="I52" s="67">
        <f>IF(B52="","",(D52="No")+(E52="No")+(F52="No")+(G52="No")+(H52="No"))</f>
        <v/>
      </c>
      <c r="J52" s="68">
        <f>IF(B52="","",IF(I52=0,"Done",IF(C52="High","Fix first",IF(C52="Moderate","Fix next",IF(C52="Low","Later","Set category")))))</f>
        <v/>
      </c>
    </row>
    <row r="53" ht="20" customHeight="1">
      <c r="B53" s="65" t="n"/>
      <c r="C53" s="66" t="n"/>
      <c r="D53" s="66" t="n"/>
      <c r="E53" s="66" t="n"/>
      <c r="F53" s="66" t="n"/>
      <c r="G53" s="66" t="n"/>
      <c r="H53" s="66" t="n"/>
      <c r="I53" s="67">
        <f>IF(B53="","",(D53="No")+(E53="No")+(F53="No")+(G53="No")+(H53="No"))</f>
        <v/>
      </c>
      <c r="J53" s="68">
        <f>IF(B53="","",IF(I53=0,"Done",IF(C53="High","Fix first",IF(C53="Moderate","Fix next",IF(C53="Low","Later","Set category")))))</f>
        <v/>
      </c>
    </row>
    <row r="54" ht="20" customHeight="1">
      <c r="B54" s="65" t="n"/>
      <c r="C54" s="66" t="n"/>
      <c r="D54" s="66" t="n"/>
      <c r="E54" s="66" t="n"/>
      <c r="F54" s="66" t="n"/>
      <c r="G54" s="66" t="n"/>
      <c r="H54" s="66" t="n"/>
      <c r="I54" s="67">
        <f>IF(B54="","",(D54="No")+(E54="No")+(F54="No")+(G54="No")+(H54="No"))</f>
        <v/>
      </c>
      <c r="J54" s="68">
        <f>IF(B54="","",IF(I54=0,"Done",IF(C54="High","Fix first",IF(C54="Moderate","Fix next",IF(C54="Low","Later","Set category")))))</f>
        <v/>
      </c>
    </row>
    <row r="55" ht="20" customHeight="1">
      <c r="B55" s="65" t="n"/>
      <c r="C55" s="66" t="n"/>
      <c r="D55" s="66" t="n"/>
      <c r="E55" s="66" t="n"/>
      <c r="F55" s="66" t="n"/>
      <c r="G55" s="66" t="n"/>
      <c r="H55" s="66" t="n"/>
      <c r="I55" s="67">
        <f>IF(B55="","",(D55="No")+(E55="No")+(F55="No")+(G55="No")+(H55="No"))</f>
        <v/>
      </c>
      <c r="J55" s="68">
        <f>IF(B55="","",IF(I55=0,"Done",IF(C55="High","Fix first",IF(C55="Moderate","Fix next",IF(C55="Low","Later","Set category")))))</f>
        <v/>
      </c>
    </row>
    <row r="56" ht="20" customHeight="1">
      <c r="B56" s="65" t="n"/>
      <c r="C56" s="66" t="n"/>
      <c r="D56" s="66" t="n"/>
      <c r="E56" s="66" t="n"/>
      <c r="F56" s="66" t="n"/>
      <c r="G56" s="66" t="n"/>
      <c r="H56" s="66" t="n"/>
      <c r="I56" s="67">
        <f>IF(B56="","",(D56="No")+(E56="No")+(F56="No")+(G56="No")+(H56="No"))</f>
        <v/>
      </c>
      <c r="J56" s="68">
        <f>IF(B56="","",IF(I56=0,"Done",IF(C56="High","Fix first",IF(C56="Moderate","Fix next",IF(C56="Low","Later","Set category")))))</f>
        <v/>
      </c>
    </row>
    <row r="57" ht="20" customHeight="1">
      <c r="B57" s="65" t="n"/>
      <c r="C57" s="66" t="n"/>
      <c r="D57" s="66" t="n"/>
      <c r="E57" s="66" t="n"/>
      <c r="F57" s="66" t="n"/>
      <c r="G57" s="66" t="n"/>
      <c r="H57" s="66" t="n"/>
      <c r="I57" s="67">
        <f>IF(B57="","",(D57="No")+(E57="No")+(F57="No")+(G57="No")+(H57="No"))</f>
        <v/>
      </c>
      <c r="J57" s="68">
        <f>IF(B57="","",IF(I57=0,"Done",IF(C57="High","Fix first",IF(C57="Moderate","Fix next",IF(C57="Low","Later","Set category")))))</f>
        <v/>
      </c>
    </row>
    <row r="58" ht="20" customHeight="1">
      <c r="B58" s="65" t="n"/>
      <c r="C58" s="66" t="n"/>
      <c r="D58" s="66" t="n"/>
      <c r="E58" s="66" t="n"/>
      <c r="F58" s="66" t="n"/>
      <c r="G58" s="66" t="n"/>
      <c r="H58" s="66" t="n"/>
      <c r="I58" s="67">
        <f>IF(B58="","",(D58="No")+(E58="No")+(F58="No")+(G58="No")+(H58="No"))</f>
        <v/>
      </c>
      <c r="J58" s="68">
        <f>IF(B58="","",IF(I58=0,"Done",IF(C58="High","Fix first",IF(C58="Moderate","Fix next",IF(C58="Low","Later","Set category")))))</f>
        <v/>
      </c>
    </row>
    <row r="59" ht="20" customHeight="1">
      <c r="B59" s="65" t="n"/>
      <c r="C59" s="66" t="n"/>
      <c r="D59" s="66" t="n"/>
      <c r="E59" s="66" t="n"/>
      <c r="F59" s="66" t="n"/>
      <c r="G59" s="66" t="n"/>
      <c r="H59" s="66" t="n"/>
      <c r="I59" s="67">
        <f>IF(B59="","",(D59="No")+(E59="No")+(F59="No")+(G59="No")+(H59="No"))</f>
        <v/>
      </c>
      <c r="J59" s="68">
        <f>IF(B59="","",IF(I59=0,"Done",IF(C59="High","Fix first",IF(C59="Moderate","Fix next",IF(C59="Low","Later","Set category")))))</f>
        <v/>
      </c>
    </row>
    <row r="60" ht="20" customHeight="1">
      <c r="B60" s="65" t="n"/>
      <c r="C60" s="66" t="n"/>
      <c r="D60" s="66" t="n"/>
      <c r="E60" s="66" t="n"/>
      <c r="F60" s="66" t="n"/>
      <c r="G60" s="66" t="n"/>
      <c r="H60" s="66" t="n"/>
      <c r="I60" s="67">
        <f>IF(B60="","",(D60="No")+(E60="No")+(F60="No")+(G60="No")+(H60="No"))</f>
        <v/>
      </c>
      <c r="J60" s="68">
        <f>IF(B60="","",IF(I60=0,"Done",IF(C60="High","Fix first",IF(C60="Moderate","Fix next",IF(C60="Low","Later","Set category")))))</f>
        <v/>
      </c>
    </row>
    <row r="61" ht="20" customHeight="1">
      <c r="B61" s="65" t="n"/>
      <c r="C61" s="66" t="n"/>
      <c r="D61" s="66" t="n"/>
      <c r="E61" s="66" t="n"/>
      <c r="F61" s="66" t="n"/>
      <c r="G61" s="66" t="n"/>
      <c r="H61" s="66" t="n"/>
      <c r="I61" s="67">
        <f>IF(B61="","",(D61="No")+(E61="No")+(F61="No")+(G61="No")+(H61="No"))</f>
        <v/>
      </c>
      <c r="J61" s="68">
        <f>IF(B61="","",IF(I61=0,"Done",IF(C61="High","Fix first",IF(C61="Moderate","Fix next",IF(C61="Low","Later","Set category")))))</f>
        <v/>
      </c>
    </row>
    <row r="62" ht="20" customHeight="1">
      <c r="B62" s="65" t="n"/>
      <c r="C62" s="66" t="n"/>
      <c r="D62" s="66" t="n"/>
      <c r="E62" s="66" t="n"/>
      <c r="F62" s="66" t="n"/>
      <c r="G62" s="66" t="n"/>
      <c r="H62" s="66" t="n"/>
      <c r="I62" s="67">
        <f>IF(B62="","",(D62="No")+(E62="No")+(F62="No")+(G62="No")+(H62="No"))</f>
        <v/>
      </c>
      <c r="J62" s="68">
        <f>IF(B62="","",IF(I62=0,"Done",IF(C62="High","Fix first",IF(C62="Moderate","Fix next",IF(C62="Low","Later","Set category")))))</f>
        <v/>
      </c>
    </row>
    <row r="63" ht="20" customHeight="1">
      <c r="B63" s="65" t="n"/>
      <c r="C63" s="66" t="n"/>
      <c r="D63" s="66" t="n"/>
      <c r="E63" s="66" t="n"/>
      <c r="F63" s="66" t="n"/>
      <c r="G63" s="66" t="n"/>
      <c r="H63" s="66" t="n"/>
      <c r="I63" s="67">
        <f>IF(B63="","",(D63="No")+(E63="No")+(F63="No")+(G63="No")+(H63="No"))</f>
        <v/>
      </c>
      <c r="J63" s="68">
        <f>IF(B63="","",IF(I63=0,"Done",IF(C63="High","Fix first",IF(C63="Moderate","Fix next",IF(C63="Low","Later","Set category")))))</f>
        <v/>
      </c>
    </row>
    <row r="64" ht="20" customHeight="1">
      <c r="B64" s="65" t="n"/>
      <c r="C64" s="66" t="n"/>
      <c r="D64" s="66" t="n"/>
      <c r="E64" s="66" t="n"/>
      <c r="F64" s="66" t="n"/>
      <c r="G64" s="66" t="n"/>
      <c r="H64" s="66" t="n"/>
      <c r="I64" s="67">
        <f>IF(B64="","",(D64="No")+(E64="No")+(F64="No")+(G64="No")+(H64="No"))</f>
        <v/>
      </c>
      <c r="J64" s="68">
        <f>IF(B64="","",IF(I64=0,"Done",IF(C64="High","Fix first",IF(C64="Moderate","Fix next",IF(C64="Low","Later","Set category")))))</f>
        <v/>
      </c>
    </row>
    <row r="65" ht="20" customHeight="1">
      <c r="B65" s="65" t="n"/>
      <c r="C65" s="66" t="n"/>
      <c r="D65" s="66" t="n"/>
      <c r="E65" s="66" t="n"/>
      <c r="F65" s="66" t="n"/>
      <c r="G65" s="66" t="n"/>
      <c r="H65" s="66" t="n"/>
      <c r="I65" s="67">
        <f>IF(B65="","",(D65="No")+(E65="No")+(F65="No")+(G65="No")+(H65="No"))</f>
        <v/>
      </c>
      <c r="J65" s="68">
        <f>IF(B65="","",IF(I65=0,"Done",IF(C65="High","Fix first",IF(C65="Moderate","Fix next",IF(C65="Low","Later","Set category")))))</f>
        <v/>
      </c>
    </row>
    <row r="66" ht="20" customHeight="1">
      <c r="B66" s="65" t="n"/>
      <c r="C66" s="66" t="n"/>
      <c r="D66" s="66" t="n"/>
      <c r="E66" s="66" t="n"/>
      <c r="F66" s="66" t="n"/>
      <c r="G66" s="66" t="n"/>
      <c r="H66" s="66" t="n"/>
      <c r="I66" s="67">
        <f>IF(B66="","",(D66="No")+(E66="No")+(F66="No")+(G66="No")+(H66="No"))</f>
        <v/>
      </c>
      <c r="J66" s="68">
        <f>IF(B66="","",IF(I66=0,"Done",IF(C66="High","Fix first",IF(C66="Moderate","Fix next",IF(C66="Low","Later","Set category")))))</f>
        <v/>
      </c>
    </row>
    <row r="67" ht="20" customHeight="1">
      <c r="B67" s="65" t="n"/>
      <c r="C67" s="66" t="n"/>
      <c r="D67" s="66" t="n"/>
      <c r="E67" s="66" t="n"/>
      <c r="F67" s="66" t="n"/>
      <c r="G67" s="66" t="n"/>
      <c r="H67" s="66" t="n"/>
      <c r="I67" s="67">
        <f>IF(B67="","",(D67="No")+(E67="No")+(F67="No")+(G67="No")+(H67="No"))</f>
        <v/>
      </c>
      <c r="J67" s="68">
        <f>IF(B67="","",IF(I67=0,"Done",IF(C67="High","Fix first",IF(C67="Moderate","Fix next",IF(C67="Low","Later","Set category")))))</f>
        <v/>
      </c>
    </row>
    <row r="68" ht="20" customHeight="1">
      <c r="B68" s="65" t="n"/>
      <c r="C68" s="66" t="n"/>
      <c r="D68" s="66" t="n"/>
      <c r="E68" s="66" t="n"/>
      <c r="F68" s="66" t="n"/>
      <c r="G68" s="66" t="n"/>
      <c r="H68" s="66" t="n"/>
      <c r="I68" s="67">
        <f>IF(B68="","",(D68="No")+(E68="No")+(F68="No")+(G68="No")+(H68="No"))</f>
        <v/>
      </c>
      <c r="J68" s="68">
        <f>IF(B68="","",IF(I68=0,"Done",IF(C68="High","Fix first",IF(C68="Moderate","Fix next",IF(C68="Low","Later","Set category")))))</f>
        <v/>
      </c>
    </row>
    <row r="69" ht="20" customHeight="1">
      <c r="B69" s="65" t="n"/>
      <c r="C69" s="66" t="n"/>
      <c r="D69" s="66" t="n"/>
      <c r="E69" s="66" t="n"/>
      <c r="F69" s="66" t="n"/>
      <c r="G69" s="66" t="n"/>
      <c r="H69" s="66" t="n"/>
      <c r="I69" s="67">
        <f>IF(B69="","",(D69="No")+(E69="No")+(F69="No")+(G69="No")+(H69="No"))</f>
        <v/>
      </c>
      <c r="J69" s="68">
        <f>IF(B69="","",IF(I69=0,"Done",IF(C69="High","Fix first",IF(C69="Moderate","Fix next",IF(C69="Low","Later","Set category")))))</f>
        <v/>
      </c>
    </row>
    <row r="70" ht="20" customHeight="1">
      <c r="B70" s="65" t="n"/>
      <c r="C70" s="66" t="n"/>
      <c r="D70" s="66" t="n"/>
      <c r="E70" s="66" t="n"/>
      <c r="F70" s="66" t="n"/>
      <c r="G70" s="66" t="n"/>
      <c r="H70" s="66" t="n"/>
      <c r="I70" s="67">
        <f>IF(B70="","",(D70="No")+(E70="No")+(F70="No")+(G70="No")+(H70="No"))</f>
        <v/>
      </c>
      <c r="J70" s="68">
        <f>IF(B70="","",IF(I70=0,"Done",IF(C70="High","Fix first",IF(C70="Moderate","Fix next",IF(C70="Low","Later","Set category")))))</f>
        <v/>
      </c>
    </row>
    <row r="71" ht="20" customHeight="1">
      <c r="B71" s="65" t="n"/>
      <c r="C71" s="66" t="n"/>
      <c r="D71" s="66" t="n"/>
      <c r="E71" s="66" t="n"/>
      <c r="F71" s="66" t="n"/>
      <c r="G71" s="66" t="n"/>
      <c r="H71" s="66" t="n"/>
      <c r="I71" s="67">
        <f>IF(B71="","",(D71="No")+(E71="No")+(F71="No")+(G71="No")+(H71="No"))</f>
        <v/>
      </c>
      <c r="J71" s="68">
        <f>IF(B71="","",IF(I71=0,"Done",IF(C71="High","Fix first",IF(C71="Moderate","Fix next",IF(C71="Low","Later","Set category")))))</f>
        <v/>
      </c>
    </row>
    <row r="72" ht="20" customHeight="1">
      <c r="B72" s="65" t="n"/>
      <c r="C72" s="66" t="n"/>
      <c r="D72" s="66" t="n"/>
      <c r="E72" s="66" t="n"/>
      <c r="F72" s="66" t="n"/>
      <c r="G72" s="66" t="n"/>
      <c r="H72" s="66" t="n"/>
      <c r="I72" s="67">
        <f>IF(B72="","",(D72="No")+(E72="No")+(F72="No")+(G72="No")+(H72="No"))</f>
        <v/>
      </c>
      <c r="J72" s="68">
        <f>IF(B72="","",IF(I72=0,"Done",IF(C72="High","Fix first",IF(C72="Moderate","Fix next",IF(C72="Low","Later","Set category")))))</f>
        <v/>
      </c>
    </row>
    <row r="73" ht="20" customHeight="1">
      <c r="B73" s="65" t="n"/>
      <c r="C73" s="66" t="n"/>
      <c r="D73" s="66" t="n"/>
      <c r="E73" s="66" t="n"/>
      <c r="F73" s="66" t="n"/>
      <c r="G73" s="66" t="n"/>
      <c r="H73" s="66" t="n"/>
      <c r="I73" s="67">
        <f>IF(B73="","",(D73="No")+(E73="No")+(F73="No")+(G73="No")+(H73="No"))</f>
        <v/>
      </c>
      <c r="J73" s="68">
        <f>IF(B73="","",IF(I73=0,"Done",IF(C73="High","Fix first",IF(C73="Moderate","Fix next",IF(C73="Low","Later","Set category")))))</f>
        <v/>
      </c>
    </row>
    <row r="74" ht="20" customHeight="1">
      <c r="B74" s="65" t="n"/>
      <c r="C74" s="66" t="n"/>
      <c r="D74" s="66" t="n"/>
      <c r="E74" s="66" t="n"/>
      <c r="F74" s="66" t="n"/>
      <c r="G74" s="66" t="n"/>
      <c r="H74" s="66" t="n"/>
      <c r="I74" s="67">
        <f>IF(B74="","",(D74="No")+(E74="No")+(F74="No")+(G74="No")+(H74="No"))</f>
        <v/>
      </c>
      <c r="J74" s="68">
        <f>IF(B74="","",IF(I74=0,"Done",IF(C74="High","Fix first",IF(C74="Moderate","Fix next",IF(C74="Low","Later","Set category")))))</f>
        <v/>
      </c>
    </row>
    <row r="75" ht="20" customHeight="1">
      <c r="B75" s="65" t="n"/>
      <c r="C75" s="66" t="n"/>
      <c r="D75" s="66" t="n"/>
      <c r="E75" s="66" t="n"/>
      <c r="F75" s="66" t="n"/>
      <c r="G75" s="66" t="n"/>
      <c r="H75" s="66" t="n"/>
      <c r="I75" s="67">
        <f>IF(B75="","",(D75="No")+(E75="No")+(F75="No")+(G75="No")+(H75="No"))</f>
        <v/>
      </c>
      <c r="J75" s="68">
        <f>IF(B75="","",IF(I75=0,"Done",IF(C75="High","Fix first",IF(C75="Moderate","Fix next",IF(C75="Low","Later","Set category")))))</f>
        <v/>
      </c>
    </row>
    <row r="76" ht="20" customHeight="1">
      <c r="B76" s="65" t="n"/>
      <c r="C76" s="66" t="n"/>
      <c r="D76" s="66" t="n"/>
      <c r="E76" s="66" t="n"/>
      <c r="F76" s="66" t="n"/>
      <c r="G76" s="66" t="n"/>
      <c r="H76" s="66" t="n"/>
      <c r="I76" s="67">
        <f>IF(B76="","",(D76="No")+(E76="No")+(F76="No")+(G76="No")+(H76="No"))</f>
        <v/>
      </c>
      <c r="J76" s="68">
        <f>IF(B76="","",IF(I76=0,"Done",IF(C76="High","Fix first",IF(C76="Moderate","Fix next",IF(C76="Low","Later","Set category")))))</f>
        <v/>
      </c>
    </row>
    <row r="77" ht="20" customHeight="1">
      <c r="B77" s="65" t="n"/>
      <c r="C77" s="66" t="n"/>
      <c r="D77" s="66" t="n"/>
      <c r="E77" s="66" t="n"/>
      <c r="F77" s="66" t="n"/>
      <c r="G77" s="66" t="n"/>
      <c r="H77" s="66" t="n"/>
      <c r="I77" s="67">
        <f>IF(B77="","",(D77="No")+(E77="No")+(F77="No")+(G77="No")+(H77="No"))</f>
        <v/>
      </c>
      <c r="J77" s="68">
        <f>IF(B77="","",IF(I77=0,"Done",IF(C77="High","Fix first",IF(C77="Moderate","Fix next",IF(C77="Low","Later","Set category")))))</f>
        <v/>
      </c>
    </row>
    <row r="78" ht="20" customHeight="1">
      <c r="B78" s="65" t="n"/>
      <c r="C78" s="66" t="n"/>
      <c r="D78" s="66" t="n"/>
      <c r="E78" s="66" t="n"/>
      <c r="F78" s="66" t="n"/>
      <c r="G78" s="66" t="n"/>
      <c r="H78" s="66" t="n"/>
      <c r="I78" s="67">
        <f>IF(B78="","",(D78="No")+(E78="No")+(F78="No")+(G78="No")+(H78="No"))</f>
        <v/>
      </c>
      <c r="J78" s="68">
        <f>IF(B78="","",IF(I78=0,"Done",IF(C78="High","Fix first",IF(C78="Moderate","Fix next",IF(C78="Low","Later","Set category")))))</f>
        <v/>
      </c>
    </row>
    <row r="79" ht="20" customHeight="1">
      <c r="B79" s="65" t="n"/>
      <c r="C79" s="66" t="n"/>
      <c r="D79" s="66" t="n"/>
      <c r="E79" s="66" t="n"/>
      <c r="F79" s="66" t="n"/>
      <c r="G79" s="66" t="n"/>
      <c r="H79" s="66" t="n"/>
      <c r="I79" s="67">
        <f>IF(B79="","",(D79="No")+(E79="No")+(F79="No")+(G79="No")+(H79="No"))</f>
        <v/>
      </c>
      <c r="J79" s="68">
        <f>IF(B79="","",IF(I79=0,"Done",IF(C79="High","Fix first",IF(C79="Moderate","Fix next",IF(C79="Low","Later","Set category")))))</f>
        <v/>
      </c>
    </row>
    <row r="80" ht="20" customHeight="1">
      <c r="B80" s="65" t="n"/>
      <c r="C80" s="66" t="n"/>
      <c r="D80" s="66" t="n"/>
      <c r="E80" s="66" t="n"/>
      <c r="F80" s="66" t="n"/>
      <c r="G80" s="66" t="n"/>
      <c r="H80" s="66" t="n"/>
      <c r="I80" s="67">
        <f>IF(B80="","",(D80="No")+(E80="No")+(F80="No")+(G80="No")+(H80="No"))</f>
        <v/>
      </c>
      <c r="J80" s="68">
        <f>IF(B80="","",IF(I80=0,"Done",IF(C80="High","Fix first",IF(C80="Moderate","Fix next",IF(C80="Low","Later","Set category")))))</f>
        <v/>
      </c>
    </row>
    <row r="81" ht="20" customHeight="1">
      <c r="B81" s="65" t="n"/>
      <c r="C81" s="66" t="n"/>
      <c r="D81" s="66" t="n"/>
      <c r="E81" s="66" t="n"/>
      <c r="F81" s="66" t="n"/>
      <c r="G81" s="66" t="n"/>
      <c r="H81" s="66" t="n"/>
      <c r="I81" s="67">
        <f>IF(B81="","",(D81="No")+(E81="No")+(F81="No")+(G81="No")+(H81="No"))</f>
        <v/>
      </c>
      <c r="J81" s="68">
        <f>IF(B81="","",IF(I81=0,"Done",IF(C81="High","Fix first",IF(C81="Moderate","Fix next",IF(C81="Low","Later","Set category")))))</f>
        <v/>
      </c>
    </row>
    <row r="82" ht="20" customHeight="1">
      <c r="B82" s="65" t="n"/>
      <c r="C82" s="66" t="n"/>
      <c r="D82" s="66" t="n"/>
      <c r="E82" s="66" t="n"/>
      <c r="F82" s="66" t="n"/>
      <c r="G82" s="66" t="n"/>
      <c r="H82" s="66" t="n"/>
      <c r="I82" s="67">
        <f>IF(B82="","",(D82="No")+(E82="No")+(F82="No")+(G82="No")+(H82="No"))</f>
        <v/>
      </c>
      <c r="J82" s="68">
        <f>IF(B82="","",IF(I82=0,"Done",IF(C82="High","Fix first",IF(C82="Moderate","Fix next",IF(C82="Low","Later","Set category")))))</f>
        <v/>
      </c>
    </row>
    <row r="83" ht="20" customHeight="1">
      <c r="B83" s="65" t="n"/>
      <c r="C83" s="66" t="n"/>
      <c r="D83" s="66" t="n"/>
      <c r="E83" s="66" t="n"/>
      <c r="F83" s="66" t="n"/>
      <c r="G83" s="66" t="n"/>
      <c r="H83" s="66" t="n"/>
      <c r="I83" s="67">
        <f>IF(B83="","",(D83="No")+(E83="No")+(F83="No")+(G83="No")+(H83="No"))</f>
        <v/>
      </c>
      <c r="J83" s="68">
        <f>IF(B83="","",IF(I83=0,"Done",IF(C83="High","Fix first",IF(C83="Moderate","Fix next",IF(C83="Low","Later","Set category")))))</f>
        <v/>
      </c>
    </row>
    <row r="84" ht="20" customHeight="1">
      <c r="B84" s="65" t="n"/>
      <c r="C84" s="66" t="n"/>
      <c r="D84" s="66" t="n"/>
      <c r="E84" s="66" t="n"/>
      <c r="F84" s="66" t="n"/>
      <c r="G84" s="66" t="n"/>
      <c r="H84" s="66" t="n"/>
      <c r="I84" s="67">
        <f>IF(B84="","",(D84="No")+(E84="No")+(F84="No")+(G84="No")+(H84="No"))</f>
        <v/>
      </c>
      <c r="J84" s="68">
        <f>IF(B84="","",IF(I84=0,"Done",IF(C84="High","Fix first",IF(C84="Moderate","Fix next",IF(C84="Low","Later","Set category")))))</f>
        <v/>
      </c>
    </row>
    <row r="85" ht="20" customHeight="1">
      <c r="B85" s="65" t="n"/>
      <c r="C85" s="66" t="n"/>
      <c r="D85" s="66" t="n"/>
      <c r="E85" s="66" t="n"/>
      <c r="F85" s="66" t="n"/>
      <c r="G85" s="66" t="n"/>
      <c r="H85" s="66" t="n"/>
      <c r="I85" s="67">
        <f>IF(B85="","",(D85="No")+(E85="No")+(F85="No")+(G85="No")+(H85="No"))</f>
        <v/>
      </c>
      <c r="J85" s="68">
        <f>IF(B85="","",IF(I85=0,"Done",IF(C85="High","Fix first",IF(C85="Moderate","Fix next",IF(C85="Low","Later","Set category")))))</f>
        <v/>
      </c>
    </row>
    <row r="86" ht="20" customHeight="1">
      <c r="B86" s="65" t="n"/>
      <c r="C86" s="66" t="n"/>
      <c r="D86" s="66" t="n"/>
      <c r="E86" s="66" t="n"/>
      <c r="F86" s="66" t="n"/>
      <c r="G86" s="66" t="n"/>
      <c r="H86" s="66" t="n"/>
      <c r="I86" s="67">
        <f>IF(B86="","",(D86="No")+(E86="No")+(F86="No")+(G86="No")+(H86="No"))</f>
        <v/>
      </c>
      <c r="J86" s="68">
        <f>IF(B86="","",IF(I86=0,"Done",IF(C86="High","Fix first",IF(C86="Moderate","Fix next",IF(C86="Low","Later","Set category")))))</f>
        <v/>
      </c>
    </row>
    <row r="87" ht="20" customHeight="1">
      <c r="B87" s="65" t="n"/>
      <c r="C87" s="66" t="n"/>
      <c r="D87" s="66" t="n"/>
      <c r="E87" s="66" t="n"/>
      <c r="F87" s="66" t="n"/>
      <c r="G87" s="66" t="n"/>
      <c r="H87" s="66" t="n"/>
      <c r="I87" s="67">
        <f>IF(B87="","",(D87="No")+(E87="No")+(F87="No")+(G87="No")+(H87="No"))</f>
        <v/>
      </c>
      <c r="J87" s="68">
        <f>IF(B87="","",IF(I87=0,"Done",IF(C87="High","Fix first",IF(C87="Moderate","Fix next",IF(C87="Low","Later","Set category")))))</f>
        <v/>
      </c>
    </row>
    <row r="88" ht="20" customHeight="1">
      <c r="B88" s="65" t="n"/>
      <c r="C88" s="66" t="n"/>
      <c r="D88" s="66" t="n"/>
      <c r="E88" s="66" t="n"/>
      <c r="F88" s="66" t="n"/>
      <c r="G88" s="66" t="n"/>
      <c r="H88" s="66" t="n"/>
      <c r="I88" s="67">
        <f>IF(B88="","",(D88="No")+(E88="No")+(F88="No")+(G88="No")+(H88="No"))</f>
        <v/>
      </c>
      <c r="J88" s="68">
        <f>IF(B88="","",IF(I88=0,"Done",IF(C88="High","Fix first",IF(C88="Moderate","Fix next",IF(C88="Low","Later","Set category")))))</f>
        <v/>
      </c>
    </row>
    <row r="89" ht="20" customHeight="1">
      <c r="B89" s="65" t="n"/>
      <c r="C89" s="66" t="n"/>
      <c r="D89" s="66" t="n"/>
      <c r="E89" s="66" t="n"/>
      <c r="F89" s="66" t="n"/>
      <c r="G89" s="66" t="n"/>
      <c r="H89" s="66" t="n"/>
      <c r="I89" s="67">
        <f>IF(B89="","",(D89="No")+(E89="No")+(F89="No")+(G89="No")+(H89="No"))</f>
        <v/>
      </c>
      <c r="J89" s="68">
        <f>IF(B89="","",IF(I89=0,"Done",IF(C89="High","Fix first",IF(C89="Moderate","Fix next",IF(C89="Low","Later","Set category")))))</f>
        <v/>
      </c>
    </row>
    <row r="90" ht="20" customHeight="1">
      <c r="B90" s="65" t="n"/>
      <c r="C90" s="66" t="n"/>
      <c r="D90" s="66" t="n"/>
      <c r="E90" s="66" t="n"/>
      <c r="F90" s="66" t="n"/>
      <c r="G90" s="66" t="n"/>
      <c r="H90" s="66" t="n"/>
      <c r="I90" s="67">
        <f>IF(B90="","",(D90="No")+(E90="No")+(F90="No")+(G90="No")+(H90="No"))</f>
        <v/>
      </c>
      <c r="J90" s="68">
        <f>IF(B90="","",IF(I90=0,"Done",IF(C90="High","Fix first",IF(C90="Moderate","Fix next",IF(C90="Low","Later","Set category")))))</f>
        <v/>
      </c>
    </row>
    <row r="91" ht="20" customHeight="1">
      <c r="B91" s="65" t="n"/>
      <c r="C91" s="66" t="n"/>
      <c r="D91" s="66" t="n"/>
      <c r="E91" s="66" t="n"/>
      <c r="F91" s="66" t="n"/>
      <c r="G91" s="66" t="n"/>
      <c r="H91" s="66" t="n"/>
      <c r="I91" s="67">
        <f>IF(B91="","",(D91="No")+(E91="No")+(F91="No")+(G91="No")+(H91="No"))</f>
        <v/>
      </c>
      <c r="J91" s="68">
        <f>IF(B91="","",IF(I91=0,"Done",IF(C91="High","Fix first",IF(C91="Moderate","Fix next",IF(C91="Low","Later","Set category")))))</f>
        <v/>
      </c>
    </row>
    <row r="92" ht="20" customHeight="1">
      <c r="B92" s="65" t="n"/>
      <c r="C92" s="66" t="n"/>
      <c r="D92" s="66" t="n"/>
      <c r="E92" s="66" t="n"/>
      <c r="F92" s="66" t="n"/>
      <c r="G92" s="66" t="n"/>
      <c r="H92" s="66" t="n"/>
      <c r="I92" s="67">
        <f>IF(B92="","",(D92="No")+(E92="No")+(F92="No")+(G92="No")+(H92="No"))</f>
        <v/>
      </c>
      <c r="J92" s="68">
        <f>IF(B92="","",IF(I92=0,"Done",IF(C92="High","Fix first",IF(C92="Moderate","Fix next",IF(C92="Low","Later","Set category")))))</f>
        <v/>
      </c>
    </row>
    <row r="93" ht="20" customHeight="1">
      <c r="B93" s="65" t="n"/>
      <c r="C93" s="66" t="n"/>
      <c r="D93" s="66" t="n"/>
      <c r="E93" s="66" t="n"/>
      <c r="F93" s="66" t="n"/>
      <c r="G93" s="66" t="n"/>
      <c r="H93" s="66" t="n"/>
      <c r="I93" s="67">
        <f>IF(B93="","",(D93="No")+(E93="No")+(F93="No")+(G93="No")+(H93="No"))</f>
        <v/>
      </c>
      <c r="J93" s="68">
        <f>IF(B93="","",IF(I93=0,"Done",IF(C93="High","Fix first",IF(C93="Moderate","Fix next",IF(C93="Low","Later","Set category")))))</f>
        <v/>
      </c>
    </row>
    <row r="94" ht="20" customHeight="1">
      <c r="B94" s="65" t="n"/>
      <c r="C94" s="66" t="n"/>
      <c r="D94" s="66" t="n"/>
      <c r="E94" s="66" t="n"/>
      <c r="F94" s="66" t="n"/>
      <c r="G94" s="66" t="n"/>
      <c r="H94" s="66" t="n"/>
      <c r="I94" s="67">
        <f>IF(B94="","",(D94="No")+(E94="No")+(F94="No")+(G94="No")+(H94="No"))</f>
        <v/>
      </c>
      <c r="J94" s="68">
        <f>IF(B94="","",IF(I94=0,"Done",IF(C94="High","Fix first",IF(C94="Moderate","Fix next",IF(C94="Low","Later","Set category")))))</f>
        <v/>
      </c>
    </row>
    <row r="95" ht="20" customHeight="1">
      <c r="B95" s="65" t="n"/>
      <c r="C95" s="66" t="n"/>
      <c r="D95" s="66" t="n"/>
      <c r="E95" s="66" t="n"/>
      <c r="F95" s="66" t="n"/>
      <c r="G95" s="66" t="n"/>
      <c r="H95" s="66" t="n"/>
      <c r="I95" s="67">
        <f>IF(B95="","",(D95="No")+(E95="No")+(F95="No")+(G95="No")+(H95="No"))</f>
        <v/>
      </c>
      <c r="J95" s="68">
        <f>IF(B95="","",IF(I95=0,"Done",IF(C95="High","Fix first",IF(C95="Moderate","Fix next",IF(C95="Low","Later","Set category")))))</f>
        <v/>
      </c>
    </row>
    <row r="96" ht="20" customHeight="1">
      <c r="B96" s="65" t="n"/>
      <c r="C96" s="66" t="n"/>
      <c r="D96" s="66" t="n"/>
      <c r="E96" s="66" t="n"/>
      <c r="F96" s="66" t="n"/>
      <c r="G96" s="66" t="n"/>
      <c r="H96" s="66" t="n"/>
      <c r="I96" s="67">
        <f>IF(B96="","",(D96="No")+(E96="No")+(F96="No")+(G96="No")+(H96="No"))</f>
        <v/>
      </c>
      <c r="J96" s="68">
        <f>IF(B96="","",IF(I96=0,"Done",IF(C96="High","Fix first",IF(C96="Moderate","Fix next",IF(C96="Low","Later","Set category")))))</f>
        <v/>
      </c>
    </row>
    <row r="97" ht="20" customHeight="1">
      <c r="B97" s="65" t="n"/>
      <c r="C97" s="66" t="n"/>
      <c r="D97" s="66" t="n"/>
      <c r="E97" s="66" t="n"/>
      <c r="F97" s="66" t="n"/>
      <c r="G97" s="66" t="n"/>
      <c r="H97" s="66" t="n"/>
      <c r="I97" s="67">
        <f>IF(B97="","",(D97="No")+(E97="No")+(F97="No")+(G97="No")+(H97="No"))</f>
        <v/>
      </c>
      <c r="J97" s="68">
        <f>IF(B97="","",IF(I97=0,"Done",IF(C97="High","Fix first",IF(C97="Moderate","Fix next",IF(C97="Low","Later","Set category")))))</f>
        <v/>
      </c>
    </row>
    <row r="98" ht="20" customHeight="1">
      <c r="B98" s="65" t="n"/>
      <c r="C98" s="66" t="n"/>
      <c r="D98" s="66" t="n"/>
      <c r="E98" s="66" t="n"/>
      <c r="F98" s="66" t="n"/>
      <c r="G98" s="66" t="n"/>
      <c r="H98" s="66" t="n"/>
      <c r="I98" s="67">
        <f>IF(B98="","",(D98="No")+(E98="No")+(F98="No")+(G98="No")+(H98="No"))</f>
        <v/>
      </c>
      <c r="J98" s="68">
        <f>IF(B98="","",IF(I98=0,"Done",IF(C98="High","Fix first",IF(C98="Moderate","Fix next",IF(C98="Low","Later","Set category")))))</f>
        <v/>
      </c>
    </row>
    <row r="99" ht="20" customHeight="1">
      <c r="B99" s="65" t="n"/>
      <c r="C99" s="66" t="n"/>
      <c r="D99" s="66" t="n"/>
      <c r="E99" s="66" t="n"/>
      <c r="F99" s="66" t="n"/>
      <c r="G99" s="66" t="n"/>
      <c r="H99" s="66" t="n"/>
      <c r="I99" s="67">
        <f>IF(B99="","",(D99="No")+(E99="No")+(F99="No")+(G99="No")+(H99="No"))</f>
        <v/>
      </c>
      <c r="J99" s="68">
        <f>IF(B99="","",IF(I99=0,"Done",IF(C99="High","Fix first",IF(C99="Moderate","Fix next",IF(C99="Low","Later","Set category")))))</f>
        <v/>
      </c>
    </row>
    <row r="100" ht="20" customHeight="1">
      <c r="B100" s="65" t="n"/>
      <c r="C100" s="66" t="n"/>
      <c r="D100" s="66" t="n"/>
      <c r="E100" s="66" t="n"/>
      <c r="F100" s="66" t="n"/>
      <c r="G100" s="66" t="n"/>
      <c r="H100" s="66" t="n"/>
      <c r="I100" s="67">
        <f>IF(B100="","",(D100="No")+(E100="No")+(F100="No")+(G100="No")+(H100="No"))</f>
        <v/>
      </c>
      <c r="J100" s="68">
        <f>IF(B100="","",IF(I100=0,"Done",IF(C100="High","Fix first",IF(C100="Moderate","Fix next",IF(C100="Low","Later","Set category")))))</f>
        <v/>
      </c>
    </row>
    <row r="101" ht="20" customHeight="1">
      <c r="B101" s="65" t="n"/>
      <c r="C101" s="66" t="n"/>
      <c r="D101" s="66" t="n"/>
      <c r="E101" s="66" t="n"/>
      <c r="F101" s="66" t="n"/>
      <c r="G101" s="66" t="n"/>
      <c r="H101" s="66" t="n"/>
      <c r="I101" s="67">
        <f>IF(B101="","",(D101="No")+(E101="No")+(F101="No")+(G101="No")+(H101="No"))</f>
        <v/>
      </c>
      <c r="J101" s="68">
        <f>IF(B101="","",IF(I101=0,"Done",IF(C101="High","Fix first",IF(C101="Moderate","Fix next",IF(C101="Low","Later","Set category")))))</f>
        <v/>
      </c>
    </row>
    <row r="102" ht="20" customHeight="1">
      <c r="B102" s="65" t="n"/>
      <c r="C102" s="66" t="n"/>
      <c r="D102" s="66" t="n"/>
      <c r="E102" s="66" t="n"/>
      <c r="F102" s="66" t="n"/>
      <c r="G102" s="66" t="n"/>
      <c r="H102" s="66" t="n"/>
      <c r="I102" s="67">
        <f>IF(B102="","",(D102="No")+(E102="No")+(F102="No")+(G102="No")+(H102="No"))</f>
        <v/>
      </c>
      <c r="J102" s="68">
        <f>IF(B102="","",IF(I102=0,"Done",IF(C102="High","Fix first",IF(C102="Moderate","Fix next",IF(C102="Low","Later","Set category")))))</f>
        <v/>
      </c>
    </row>
    <row r="103" ht="20" customHeight="1">
      <c r="B103" s="65" t="n"/>
      <c r="C103" s="66" t="n"/>
      <c r="D103" s="66" t="n"/>
      <c r="E103" s="66" t="n"/>
      <c r="F103" s="66" t="n"/>
      <c r="G103" s="66" t="n"/>
      <c r="H103" s="66" t="n"/>
      <c r="I103" s="67">
        <f>IF(B103="","",(D103="No")+(E103="No")+(F103="No")+(G103="No")+(H103="No"))</f>
        <v/>
      </c>
      <c r="J103" s="68">
        <f>IF(B103="","",IF(I103=0,"Done",IF(C103="High","Fix first",IF(C103="Moderate","Fix next",IF(C103="Low","Later","Set category")))))</f>
        <v/>
      </c>
    </row>
    <row r="104" ht="20" customHeight="1">
      <c r="B104" s="65" t="n"/>
      <c r="C104" s="66" t="n"/>
      <c r="D104" s="66" t="n"/>
      <c r="E104" s="66" t="n"/>
      <c r="F104" s="66" t="n"/>
      <c r="G104" s="66" t="n"/>
      <c r="H104" s="66" t="n"/>
      <c r="I104" s="67">
        <f>IF(B104="","",(D104="No")+(E104="No")+(F104="No")+(G104="No")+(H104="No"))</f>
        <v/>
      </c>
      <c r="J104" s="68">
        <f>IF(B104="","",IF(I104=0,"Done",IF(C104="High","Fix first",IF(C104="Moderate","Fix next",IF(C104="Low","Later","Set category")))))</f>
        <v/>
      </c>
    </row>
    <row r="105" ht="20" customHeight="1">
      <c r="B105" s="65" t="n"/>
      <c r="C105" s="66" t="n"/>
      <c r="D105" s="66" t="n"/>
      <c r="E105" s="66" t="n"/>
      <c r="F105" s="66" t="n"/>
      <c r="G105" s="66" t="n"/>
      <c r="H105" s="66" t="n"/>
      <c r="I105" s="67">
        <f>IF(B105="","",(D105="No")+(E105="No")+(F105="No")+(G105="No")+(H105="No"))</f>
        <v/>
      </c>
      <c r="J105" s="68">
        <f>IF(B105="","",IF(I105=0,"Done",IF(C105="High","Fix first",IF(C105="Moderate","Fix next",IF(C105="Low","Later","Set category")))))</f>
        <v/>
      </c>
    </row>
    <row r="106" ht="20" customHeight="1">
      <c r="B106" s="65" t="n"/>
      <c r="C106" s="66" t="n"/>
      <c r="D106" s="66" t="n"/>
      <c r="E106" s="66" t="n"/>
      <c r="F106" s="66" t="n"/>
      <c r="G106" s="66" t="n"/>
      <c r="H106" s="66" t="n"/>
      <c r="I106" s="67">
        <f>IF(B106="","",(D106="No")+(E106="No")+(F106="No")+(G106="No")+(H106="No"))</f>
        <v/>
      </c>
      <c r="J106" s="68">
        <f>IF(B106="","",IF(I106=0,"Done",IF(C106="High","Fix first",IF(C106="Moderate","Fix next",IF(C106="Low","Later","Set category")))))</f>
        <v/>
      </c>
    </row>
    <row r="107" ht="20" customHeight="1">
      <c r="B107" s="65" t="n"/>
      <c r="C107" s="66" t="n"/>
      <c r="D107" s="66" t="n"/>
      <c r="E107" s="66" t="n"/>
      <c r="F107" s="66" t="n"/>
      <c r="G107" s="66" t="n"/>
      <c r="H107" s="66" t="n"/>
      <c r="I107" s="67">
        <f>IF(B107="","",(D107="No")+(E107="No")+(F107="No")+(G107="No")+(H107="No"))</f>
        <v/>
      </c>
      <c r="J107" s="68">
        <f>IF(B107="","",IF(I107=0,"Done",IF(C107="High","Fix first",IF(C107="Moderate","Fix next",IF(C107="Low","Later","Set category")))))</f>
        <v/>
      </c>
    </row>
    <row r="108" ht="20" customHeight="1">
      <c r="B108" s="65" t="n"/>
      <c r="C108" s="66" t="n"/>
      <c r="D108" s="66" t="n"/>
      <c r="E108" s="66" t="n"/>
      <c r="F108" s="66" t="n"/>
      <c r="G108" s="66" t="n"/>
      <c r="H108" s="66" t="n"/>
      <c r="I108" s="67">
        <f>IF(B108="","",(D108="No")+(E108="No")+(F108="No")+(G108="No")+(H108="No"))</f>
        <v/>
      </c>
      <c r="J108" s="68">
        <f>IF(B108="","",IF(I108=0,"Done",IF(C108="High","Fix first",IF(C108="Moderate","Fix next",IF(C108="Low","Later","Set category")))))</f>
        <v/>
      </c>
    </row>
    <row r="109" ht="20" customHeight="1">
      <c r="B109" s="65" t="n"/>
      <c r="C109" s="66" t="n"/>
      <c r="D109" s="66" t="n"/>
      <c r="E109" s="66" t="n"/>
      <c r="F109" s="66" t="n"/>
      <c r="G109" s="66" t="n"/>
      <c r="H109" s="66" t="n"/>
      <c r="I109" s="67">
        <f>IF(B109="","",(D109="No")+(E109="No")+(F109="No")+(G109="No")+(H109="No"))</f>
        <v/>
      </c>
      <c r="J109" s="68">
        <f>IF(B109="","",IF(I109=0,"Done",IF(C109="High","Fix first",IF(C109="Moderate","Fix next",IF(C109="Low","Later","Set category")))))</f>
        <v/>
      </c>
    </row>
    <row r="110" ht="20" customHeight="1">
      <c r="B110" s="65" t="n"/>
      <c r="C110" s="66" t="n"/>
      <c r="D110" s="66" t="n"/>
      <c r="E110" s="66" t="n"/>
      <c r="F110" s="66" t="n"/>
      <c r="G110" s="66" t="n"/>
      <c r="H110" s="66" t="n"/>
      <c r="I110" s="67">
        <f>IF(B110="","",(D110="No")+(E110="No")+(F110="No")+(G110="No")+(H110="No"))</f>
        <v/>
      </c>
      <c r="J110" s="68">
        <f>IF(B110="","",IF(I110=0,"Done",IF(C110="High","Fix first",IF(C110="Moderate","Fix next",IF(C110="Low","Later","Set category")))))</f>
        <v/>
      </c>
    </row>
    <row r="111" ht="20" customHeight="1">
      <c r="B111" s="65" t="n"/>
      <c r="C111" s="66" t="n"/>
      <c r="D111" s="66" t="n"/>
      <c r="E111" s="66" t="n"/>
      <c r="F111" s="66" t="n"/>
      <c r="G111" s="66" t="n"/>
      <c r="H111" s="66" t="n"/>
      <c r="I111" s="67">
        <f>IF(B111="","",(D111="No")+(E111="No")+(F111="No")+(G111="No")+(H111="No"))</f>
        <v/>
      </c>
      <c r="J111" s="68">
        <f>IF(B111="","",IF(I111=0,"Done",IF(C111="High","Fix first",IF(C111="Moderate","Fix next",IF(C111="Low","Later","Set category")))))</f>
        <v/>
      </c>
    </row>
    <row r="112" ht="20" customHeight="1">
      <c r="B112" s="65" t="n"/>
      <c r="C112" s="66" t="n"/>
      <c r="D112" s="66" t="n"/>
      <c r="E112" s="66" t="n"/>
      <c r="F112" s="66" t="n"/>
      <c r="G112" s="66" t="n"/>
      <c r="H112" s="66" t="n"/>
      <c r="I112" s="67">
        <f>IF(B112="","",(D112="No")+(E112="No")+(F112="No")+(G112="No")+(H112="No"))</f>
        <v/>
      </c>
      <c r="J112" s="68">
        <f>IF(B112="","",IF(I112=0,"Done",IF(C112="High","Fix first",IF(C112="Moderate","Fix next",IF(C112="Low","Later","Set category")))))</f>
        <v/>
      </c>
    </row>
    <row r="113" ht="20" customHeight="1">
      <c r="B113" s="65" t="n"/>
      <c r="C113" s="66" t="n"/>
      <c r="D113" s="66" t="n"/>
      <c r="E113" s="66" t="n"/>
      <c r="F113" s="66" t="n"/>
      <c r="G113" s="66" t="n"/>
      <c r="H113" s="66" t="n"/>
      <c r="I113" s="67">
        <f>IF(B113="","",(D113="No")+(E113="No")+(F113="No")+(G113="No")+(H113="No"))</f>
        <v/>
      </c>
      <c r="J113" s="68">
        <f>IF(B113="","",IF(I113=0,"Done",IF(C113="High","Fix first",IF(C113="Moderate","Fix next",IF(C113="Low","Later","Set category")))))</f>
        <v/>
      </c>
    </row>
    <row r="114" ht="20" customHeight="1">
      <c r="B114" s="65" t="n"/>
      <c r="C114" s="66" t="n"/>
      <c r="D114" s="66" t="n"/>
      <c r="E114" s="66" t="n"/>
      <c r="F114" s="66" t="n"/>
      <c r="G114" s="66" t="n"/>
      <c r="H114" s="66" t="n"/>
      <c r="I114" s="67">
        <f>IF(B114="","",(D114="No")+(E114="No")+(F114="No")+(G114="No")+(H114="No"))</f>
        <v/>
      </c>
      <c r="J114" s="68">
        <f>IF(B114="","",IF(I114=0,"Done",IF(C114="High","Fix first",IF(C114="Moderate","Fix next",IF(C114="Low","Later","Set category")))))</f>
        <v/>
      </c>
    </row>
    <row r="115" ht="20" customHeight="1">
      <c r="B115" s="65" t="n"/>
      <c r="C115" s="66" t="n"/>
      <c r="D115" s="66" t="n"/>
      <c r="E115" s="66" t="n"/>
      <c r="F115" s="66" t="n"/>
      <c r="G115" s="66" t="n"/>
      <c r="H115" s="66" t="n"/>
      <c r="I115" s="67">
        <f>IF(B115="","",(D115="No")+(E115="No")+(F115="No")+(G115="No")+(H115="No"))</f>
        <v/>
      </c>
      <c r="J115" s="68">
        <f>IF(B115="","",IF(I115=0,"Done",IF(C115="High","Fix first",IF(C115="Moderate","Fix next",IF(C115="Low","Later","Set category")))))</f>
        <v/>
      </c>
    </row>
    <row r="116" ht="20" customHeight="1">
      <c r="B116" s="65" t="n"/>
      <c r="C116" s="66" t="n"/>
      <c r="D116" s="66" t="n"/>
      <c r="E116" s="66" t="n"/>
      <c r="F116" s="66" t="n"/>
      <c r="G116" s="66" t="n"/>
      <c r="H116" s="66" t="n"/>
      <c r="I116" s="67">
        <f>IF(B116="","",(D116="No")+(E116="No")+(F116="No")+(G116="No")+(H116="No"))</f>
        <v/>
      </c>
      <c r="J116" s="68">
        <f>IF(B116="","",IF(I116=0,"Done",IF(C116="High","Fix first",IF(C116="Moderate","Fix next",IF(C116="Low","Later","Set category")))))</f>
        <v/>
      </c>
    </row>
    <row r="117" ht="20" customHeight="1">
      <c r="B117" s="65" t="n"/>
      <c r="C117" s="66" t="n"/>
      <c r="D117" s="66" t="n"/>
      <c r="E117" s="66" t="n"/>
      <c r="F117" s="66" t="n"/>
      <c r="G117" s="66" t="n"/>
      <c r="H117" s="66" t="n"/>
      <c r="I117" s="67">
        <f>IF(B117="","",(D117="No")+(E117="No")+(F117="No")+(G117="No")+(H117="No"))</f>
        <v/>
      </c>
      <c r="J117" s="68">
        <f>IF(B117="","",IF(I117=0,"Done",IF(C117="High","Fix first",IF(C117="Moderate","Fix next",IF(C117="Low","Later","Set category")))))</f>
        <v/>
      </c>
    </row>
    <row r="118" ht="20" customHeight="1">
      <c r="B118" s="65" t="n"/>
      <c r="C118" s="66" t="n"/>
      <c r="D118" s="66" t="n"/>
      <c r="E118" s="66" t="n"/>
      <c r="F118" s="66" t="n"/>
      <c r="G118" s="66" t="n"/>
      <c r="H118" s="66" t="n"/>
      <c r="I118" s="67">
        <f>IF(B118="","",(D118="No")+(E118="No")+(F118="No")+(G118="No")+(H118="No"))</f>
        <v/>
      </c>
      <c r="J118" s="68">
        <f>IF(B118="","",IF(I118=0,"Done",IF(C118="High","Fix first",IF(C118="Moderate","Fix next",IF(C118="Low","Later","Set category")))))</f>
        <v/>
      </c>
    </row>
    <row r="119" ht="20" customHeight="1">
      <c r="B119" s="65" t="n"/>
      <c r="C119" s="66" t="n"/>
      <c r="D119" s="66" t="n"/>
      <c r="E119" s="66" t="n"/>
      <c r="F119" s="66" t="n"/>
      <c r="G119" s="66" t="n"/>
      <c r="H119" s="66" t="n"/>
      <c r="I119" s="67">
        <f>IF(B119="","",(D119="No")+(E119="No")+(F119="No")+(G119="No")+(H119="No"))</f>
        <v/>
      </c>
      <c r="J119" s="68">
        <f>IF(B119="","",IF(I119=0,"Done",IF(C119="High","Fix first",IF(C119="Moderate","Fix next",IF(C119="Low","Later","Set category")))))</f>
        <v/>
      </c>
    </row>
    <row r="120" ht="20" customHeight="1">
      <c r="B120" s="65" t="n"/>
      <c r="C120" s="66" t="n"/>
      <c r="D120" s="66" t="n"/>
      <c r="E120" s="66" t="n"/>
      <c r="F120" s="66" t="n"/>
      <c r="G120" s="66" t="n"/>
      <c r="H120" s="66" t="n"/>
      <c r="I120" s="67">
        <f>IF(B120="","",(D120="No")+(E120="No")+(F120="No")+(G120="No")+(H120="No"))</f>
        <v/>
      </c>
      <c r="J120" s="68">
        <f>IF(B120="","",IF(I120=0,"Done",IF(C120="High","Fix first",IF(C120="Moderate","Fix next",IF(C120="Low","Later","Set category")))))</f>
        <v/>
      </c>
    </row>
    <row r="121" ht="20" customHeight="1">
      <c r="B121" s="65" t="n"/>
      <c r="C121" s="66" t="n"/>
      <c r="D121" s="66" t="n"/>
      <c r="E121" s="66" t="n"/>
      <c r="F121" s="66" t="n"/>
      <c r="G121" s="66" t="n"/>
      <c r="H121" s="66" t="n"/>
      <c r="I121" s="67">
        <f>IF(B121="","",(D121="No")+(E121="No")+(F121="No")+(G121="No")+(H121="No"))</f>
        <v/>
      </c>
      <c r="J121" s="68">
        <f>IF(B121="","",IF(I121=0,"Done",IF(C121="High","Fix first",IF(C121="Moderate","Fix next",IF(C121="Low","Later","Set category")))))</f>
        <v/>
      </c>
    </row>
    <row r="122" ht="20" customHeight="1">
      <c r="B122" s="65" t="n"/>
      <c r="C122" s="66" t="n"/>
      <c r="D122" s="66" t="n"/>
      <c r="E122" s="66" t="n"/>
      <c r="F122" s="66" t="n"/>
      <c r="G122" s="66" t="n"/>
      <c r="H122" s="66" t="n"/>
      <c r="I122" s="67">
        <f>IF(B122="","",(D122="No")+(E122="No")+(F122="No")+(G122="No")+(H122="No"))</f>
        <v/>
      </c>
      <c r="J122" s="68">
        <f>IF(B122="","",IF(I122=0,"Done",IF(C122="High","Fix first",IF(C122="Moderate","Fix next",IF(C122="Low","Later","Set category")))))</f>
        <v/>
      </c>
    </row>
    <row r="123" ht="20" customHeight="1">
      <c r="B123" s="65" t="n"/>
      <c r="C123" s="66" t="n"/>
      <c r="D123" s="66" t="n"/>
      <c r="E123" s="66" t="n"/>
      <c r="F123" s="66" t="n"/>
      <c r="G123" s="66" t="n"/>
      <c r="H123" s="66" t="n"/>
      <c r="I123" s="67">
        <f>IF(B123="","",(D123="No")+(E123="No")+(F123="No")+(G123="No")+(H123="No"))</f>
        <v/>
      </c>
      <c r="J123" s="68">
        <f>IF(B123="","",IF(I123=0,"Done",IF(C123="High","Fix first",IF(C123="Moderate","Fix next",IF(C123="Low","Later","Set category")))))</f>
        <v/>
      </c>
    </row>
    <row r="124" ht="20" customHeight="1">
      <c r="B124" s="65" t="n"/>
      <c r="C124" s="66" t="n"/>
      <c r="D124" s="66" t="n"/>
      <c r="E124" s="66" t="n"/>
      <c r="F124" s="66" t="n"/>
      <c r="G124" s="66" t="n"/>
      <c r="H124" s="66" t="n"/>
      <c r="I124" s="67">
        <f>IF(B124="","",(D124="No")+(E124="No")+(F124="No")+(G124="No")+(H124="No"))</f>
        <v/>
      </c>
      <c r="J124" s="68">
        <f>IF(B124="","",IF(I124=0,"Done",IF(C124="High","Fix first",IF(C124="Moderate","Fix next",IF(C124="Low","Later","Set category")))))</f>
        <v/>
      </c>
    </row>
    <row r="125" ht="20" customHeight="1">
      <c r="B125" s="65" t="n"/>
      <c r="C125" s="66" t="n"/>
      <c r="D125" s="66" t="n"/>
      <c r="E125" s="66" t="n"/>
      <c r="F125" s="66" t="n"/>
      <c r="G125" s="66" t="n"/>
      <c r="H125" s="66" t="n"/>
      <c r="I125" s="67">
        <f>IF(B125="","",(D125="No")+(E125="No")+(F125="No")+(G125="No")+(H125="No"))</f>
        <v/>
      </c>
      <c r="J125" s="68">
        <f>IF(B125="","",IF(I125=0,"Done",IF(C125="High","Fix first",IF(C125="Moderate","Fix next",IF(C125="Low","Later","Set category")))))</f>
        <v/>
      </c>
    </row>
    <row r="126" ht="20" customHeight="1">
      <c r="B126" s="65" t="n"/>
      <c r="C126" s="66" t="n"/>
      <c r="D126" s="66" t="n"/>
      <c r="E126" s="66" t="n"/>
      <c r="F126" s="66" t="n"/>
      <c r="G126" s="66" t="n"/>
      <c r="H126" s="66" t="n"/>
      <c r="I126" s="67">
        <f>IF(B126="","",(D126="No")+(E126="No")+(F126="No")+(G126="No")+(H126="No"))</f>
        <v/>
      </c>
      <c r="J126" s="68">
        <f>IF(B126="","",IF(I126=0,"Done",IF(C126="High","Fix first",IF(C126="Moderate","Fix next",IF(C126="Low","Later","Set category")))))</f>
        <v/>
      </c>
    </row>
    <row r="127" ht="20" customHeight="1">
      <c r="B127" s="65" t="n"/>
      <c r="C127" s="66" t="n"/>
      <c r="D127" s="66" t="n"/>
      <c r="E127" s="66" t="n"/>
      <c r="F127" s="66" t="n"/>
      <c r="G127" s="66" t="n"/>
      <c r="H127" s="66" t="n"/>
      <c r="I127" s="67">
        <f>IF(B127="","",(D127="No")+(E127="No")+(F127="No")+(G127="No")+(H127="No"))</f>
        <v/>
      </c>
      <c r="J127" s="68">
        <f>IF(B127="","",IF(I127=0,"Done",IF(C127="High","Fix first",IF(C127="Moderate","Fix next",IF(C127="Low","Later","Set category")))))</f>
        <v/>
      </c>
    </row>
    <row r="128" ht="20" customHeight="1">
      <c r="B128" s="65" t="n"/>
      <c r="C128" s="66" t="n"/>
      <c r="D128" s="66" t="n"/>
      <c r="E128" s="66" t="n"/>
      <c r="F128" s="66" t="n"/>
      <c r="G128" s="66" t="n"/>
      <c r="H128" s="66" t="n"/>
      <c r="I128" s="67">
        <f>IF(B128="","",(D128="No")+(E128="No")+(F128="No")+(G128="No")+(H128="No"))</f>
        <v/>
      </c>
      <c r="J128" s="68">
        <f>IF(B128="","",IF(I128=0,"Done",IF(C128="High","Fix first",IF(C128="Moderate","Fix next",IF(C128="Low","Later","Set category")))))</f>
        <v/>
      </c>
    </row>
    <row r="129" ht="20" customHeight="1">
      <c r="B129" s="65" t="n"/>
      <c r="C129" s="66" t="n"/>
      <c r="D129" s="66" t="n"/>
      <c r="E129" s="66" t="n"/>
      <c r="F129" s="66" t="n"/>
      <c r="G129" s="66" t="n"/>
      <c r="H129" s="66" t="n"/>
      <c r="I129" s="67">
        <f>IF(B129="","",(D129="No")+(E129="No")+(F129="No")+(G129="No")+(H129="No"))</f>
        <v/>
      </c>
      <c r="J129" s="68">
        <f>IF(B129="","",IF(I129=0,"Done",IF(C129="High","Fix first",IF(C129="Moderate","Fix next",IF(C129="Low","Later","Set category")))))</f>
        <v/>
      </c>
    </row>
    <row r="130" ht="20" customHeight="1">
      <c r="B130" s="65" t="n"/>
      <c r="C130" s="66" t="n"/>
      <c r="D130" s="66" t="n"/>
      <c r="E130" s="66" t="n"/>
      <c r="F130" s="66" t="n"/>
      <c r="G130" s="66" t="n"/>
      <c r="H130" s="66" t="n"/>
      <c r="I130" s="67">
        <f>IF(B130="","",(D130="No")+(E130="No")+(F130="No")+(G130="No")+(H130="No"))</f>
        <v/>
      </c>
      <c r="J130" s="68">
        <f>IF(B130="","",IF(I130=0,"Done",IF(C130="High","Fix first",IF(C130="Moderate","Fix next",IF(C130="Low","Later","Set category")))))</f>
        <v/>
      </c>
    </row>
    <row r="131" ht="20" customHeight="1">
      <c r="B131" s="65" t="n"/>
      <c r="C131" s="66" t="n"/>
      <c r="D131" s="66" t="n"/>
      <c r="E131" s="66" t="n"/>
      <c r="F131" s="66" t="n"/>
      <c r="G131" s="66" t="n"/>
      <c r="H131" s="66" t="n"/>
      <c r="I131" s="67">
        <f>IF(B131="","",(D131="No")+(E131="No")+(F131="No")+(G131="No")+(H131="No"))</f>
        <v/>
      </c>
      <c r="J131" s="68">
        <f>IF(B131="","",IF(I131=0,"Done",IF(C131="High","Fix first",IF(C131="Moderate","Fix next",IF(C131="Low","Later","Set category")))))</f>
        <v/>
      </c>
    </row>
    <row r="132" ht="20" customHeight="1">
      <c r="B132" s="65" t="n"/>
      <c r="C132" s="66" t="n"/>
      <c r="D132" s="66" t="n"/>
      <c r="E132" s="66" t="n"/>
      <c r="F132" s="66" t="n"/>
      <c r="G132" s="66" t="n"/>
      <c r="H132" s="66" t="n"/>
      <c r="I132" s="67">
        <f>IF(B132="","",(D132="No")+(E132="No")+(F132="No")+(G132="No")+(H132="No"))</f>
        <v/>
      </c>
      <c r="J132" s="68">
        <f>IF(B132="","",IF(I132=0,"Done",IF(C132="High","Fix first",IF(C132="Moderate","Fix next",IF(C132="Low","Later","Set category")))))</f>
        <v/>
      </c>
    </row>
    <row r="133" ht="20" customHeight="1">
      <c r="B133" s="65" t="n"/>
      <c r="C133" s="66" t="n"/>
      <c r="D133" s="66" t="n"/>
      <c r="E133" s="66" t="n"/>
      <c r="F133" s="66" t="n"/>
      <c r="G133" s="66" t="n"/>
      <c r="H133" s="66" t="n"/>
      <c r="I133" s="67">
        <f>IF(B133="","",(D133="No")+(E133="No")+(F133="No")+(G133="No")+(H133="No"))</f>
        <v/>
      </c>
      <c r="J133" s="68">
        <f>IF(B133="","",IF(I133=0,"Done",IF(C133="High","Fix first",IF(C133="Moderate","Fix next",IF(C133="Low","Later","Set category")))))</f>
        <v/>
      </c>
    </row>
    <row r="134" ht="20" customHeight="1">
      <c r="B134" s="65" t="n"/>
      <c r="C134" s="66" t="n"/>
      <c r="D134" s="66" t="n"/>
      <c r="E134" s="66" t="n"/>
      <c r="F134" s="66" t="n"/>
      <c r="G134" s="66" t="n"/>
      <c r="H134" s="66" t="n"/>
      <c r="I134" s="67">
        <f>IF(B134="","",(D134="No")+(E134="No")+(F134="No")+(G134="No")+(H134="No"))</f>
        <v/>
      </c>
      <c r="J134" s="68">
        <f>IF(B134="","",IF(I134=0,"Done",IF(C134="High","Fix first",IF(C134="Moderate","Fix next",IF(C134="Low","Later","Set category")))))</f>
        <v/>
      </c>
    </row>
    <row r="135" ht="20" customHeight="1">
      <c r="B135" s="65" t="n"/>
      <c r="C135" s="66" t="n"/>
      <c r="D135" s="66" t="n"/>
      <c r="E135" s="66" t="n"/>
      <c r="F135" s="66" t="n"/>
      <c r="G135" s="66" t="n"/>
      <c r="H135" s="66" t="n"/>
      <c r="I135" s="67">
        <f>IF(B135="","",(D135="No")+(E135="No")+(F135="No")+(G135="No")+(H135="No"))</f>
        <v/>
      </c>
      <c r="J135" s="68">
        <f>IF(B135="","",IF(I135=0,"Done",IF(C135="High","Fix first",IF(C135="Moderate","Fix next",IF(C135="Low","Later","Set category")))))</f>
        <v/>
      </c>
    </row>
    <row r="136" ht="20" customHeight="1">
      <c r="B136" s="65" t="n"/>
      <c r="C136" s="66" t="n"/>
      <c r="D136" s="66" t="n"/>
      <c r="E136" s="66" t="n"/>
      <c r="F136" s="66" t="n"/>
      <c r="G136" s="66" t="n"/>
      <c r="H136" s="66" t="n"/>
      <c r="I136" s="67">
        <f>IF(B136="","",(D136="No")+(E136="No")+(F136="No")+(G136="No")+(H136="No"))</f>
        <v/>
      </c>
      <c r="J136" s="68">
        <f>IF(B136="","",IF(I136=0,"Done",IF(C136="High","Fix first",IF(C136="Moderate","Fix next",IF(C136="Low","Later","Set category")))))</f>
        <v/>
      </c>
    </row>
    <row r="137" ht="20" customHeight="1">
      <c r="B137" s="65" t="n"/>
      <c r="C137" s="66" t="n"/>
      <c r="D137" s="66" t="n"/>
      <c r="E137" s="66" t="n"/>
      <c r="F137" s="66" t="n"/>
      <c r="G137" s="66" t="n"/>
      <c r="H137" s="66" t="n"/>
      <c r="I137" s="67">
        <f>IF(B137="","",(D137="No")+(E137="No")+(F137="No")+(G137="No")+(H137="No"))</f>
        <v/>
      </c>
      <c r="J137" s="68">
        <f>IF(B137="","",IF(I137=0,"Done",IF(C137="High","Fix first",IF(C137="Moderate","Fix next",IF(C137="Low","Later","Set category")))))</f>
        <v/>
      </c>
    </row>
    <row r="138" ht="20" customHeight="1">
      <c r="B138" s="65" t="n"/>
      <c r="C138" s="66" t="n"/>
      <c r="D138" s="66" t="n"/>
      <c r="E138" s="66" t="n"/>
      <c r="F138" s="66" t="n"/>
      <c r="G138" s="66" t="n"/>
      <c r="H138" s="66" t="n"/>
      <c r="I138" s="67">
        <f>IF(B138="","",(D138="No")+(E138="No")+(F138="No")+(G138="No")+(H138="No"))</f>
        <v/>
      </c>
      <c r="J138" s="68">
        <f>IF(B138="","",IF(I138=0,"Done",IF(C138="High","Fix first",IF(C138="Moderate","Fix next",IF(C138="Low","Later","Set category")))))</f>
        <v/>
      </c>
    </row>
    <row r="139" ht="20" customHeight="1">
      <c r="B139" s="65" t="n"/>
      <c r="C139" s="66" t="n"/>
      <c r="D139" s="66" t="n"/>
      <c r="E139" s="66" t="n"/>
      <c r="F139" s="66" t="n"/>
      <c r="G139" s="66" t="n"/>
      <c r="H139" s="66" t="n"/>
      <c r="I139" s="67">
        <f>IF(B139="","",(D139="No")+(E139="No")+(F139="No")+(G139="No")+(H139="No"))</f>
        <v/>
      </c>
      <c r="J139" s="68">
        <f>IF(B139="","",IF(I139=0,"Done",IF(C139="High","Fix first",IF(C139="Moderate","Fix next",IF(C139="Low","Later","Set category")))))</f>
        <v/>
      </c>
    </row>
    <row r="140" ht="20" customHeight="1">
      <c r="B140" s="65" t="n"/>
      <c r="C140" s="66" t="n"/>
      <c r="D140" s="66" t="n"/>
      <c r="E140" s="66" t="n"/>
      <c r="F140" s="66" t="n"/>
      <c r="G140" s="66" t="n"/>
      <c r="H140" s="66" t="n"/>
      <c r="I140" s="67">
        <f>IF(B140="","",(D140="No")+(E140="No")+(F140="No")+(G140="No")+(H140="No"))</f>
        <v/>
      </c>
      <c r="J140" s="68">
        <f>IF(B140="","",IF(I140=0,"Done",IF(C140="High","Fix first",IF(C140="Moderate","Fix next",IF(C140="Low","Later","Set category")))))</f>
        <v/>
      </c>
    </row>
    <row r="141" ht="20" customHeight="1">
      <c r="B141" s="65" t="n"/>
      <c r="C141" s="66" t="n"/>
      <c r="D141" s="66" t="n"/>
      <c r="E141" s="66" t="n"/>
      <c r="F141" s="66" t="n"/>
      <c r="G141" s="66" t="n"/>
      <c r="H141" s="66" t="n"/>
      <c r="I141" s="67">
        <f>IF(B141="","",(D141="No")+(E141="No")+(F141="No")+(G141="No")+(H141="No"))</f>
        <v/>
      </c>
      <c r="J141" s="68">
        <f>IF(B141="","",IF(I141=0,"Done",IF(C141="High","Fix first",IF(C141="Moderate","Fix next",IF(C141="Low","Later","Set category")))))</f>
        <v/>
      </c>
    </row>
    <row r="142" ht="20" customHeight="1">
      <c r="B142" s="65" t="n"/>
      <c r="C142" s="66" t="n"/>
      <c r="D142" s="66" t="n"/>
      <c r="E142" s="66" t="n"/>
      <c r="F142" s="66" t="n"/>
      <c r="G142" s="66" t="n"/>
      <c r="H142" s="66" t="n"/>
      <c r="I142" s="67">
        <f>IF(B142="","",(D142="No")+(E142="No")+(F142="No")+(G142="No")+(H142="No"))</f>
        <v/>
      </c>
      <c r="J142" s="68">
        <f>IF(B142="","",IF(I142=0,"Done",IF(C142="High","Fix first",IF(C142="Moderate","Fix next",IF(C142="Low","Later","Set category")))))</f>
        <v/>
      </c>
    </row>
    <row r="143" ht="20" customHeight="1">
      <c r="B143" s="65" t="n"/>
      <c r="C143" s="66" t="n"/>
      <c r="D143" s="66" t="n"/>
      <c r="E143" s="66" t="n"/>
      <c r="F143" s="66" t="n"/>
      <c r="G143" s="66" t="n"/>
      <c r="H143" s="66" t="n"/>
      <c r="I143" s="67">
        <f>IF(B143="","",(D143="No")+(E143="No")+(F143="No")+(G143="No")+(H143="No"))</f>
        <v/>
      </c>
      <c r="J143" s="68">
        <f>IF(B143="","",IF(I143=0,"Done",IF(C143="High","Fix first",IF(C143="Moderate","Fix next",IF(C143="Low","Later","Set category")))))</f>
        <v/>
      </c>
    </row>
    <row r="144" ht="20" customHeight="1">
      <c r="B144" s="65" t="n"/>
      <c r="C144" s="66" t="n"/>
      <c r="D144" s="66" t="n"/>
      <c r="E144" s="66" t="n"/>
      <c r="F144" s="66" t="n"/>
      <c r="G144" s="66" t="n"/>
      <c r="H144" s="66" t="n"/>
      <c r="I144" s="67">
        <f>IF(B144="","",(D144="No")+(E144="No")+(F144="No")+(G144="No")+(H144="No"))</f>
        <v/>
      </c>
      <c r="J144" s="68">
        <f>IF(B144="","",IF(I144=0,"Done",IF(C144="High","Fix first",IF(C144="Moderate","Fix next",IF(C144="Low","Later","Set category")))))</f>
        <v/>
      </c>
    </row>
    <row r="145" ht="20" customHeight="1">
      <c r="B145" s="65" t="n"/>
      <c r="C145" s="66" t="n"/>
      <c r="D145" s="66" t="n"/>
      <c r="E145" s="66" t="n"/>
      <c r="F145" s="66" t="n"/>
      <c r="G145" s="66" t="n"/>
      <c r="H145" s="66" t="n"/>
      <c r="I145" s="67">
        <f>IF(B145="","",(D145="No")+(E145="No")+(F145="No")+(G145="No")+(H145="No"))</f>
        <v/>
      </c>
      <c r="J145" s="68">
        <f>IF(B145="","",IF(I145=0,"Done",IF(C145="High","Fix first",IF(C145="Moderate","Fix next",IF(C145="Low","Later","Set category")))))</f>
        <v/>
      </c>
    </row>
    <row r="146" ht="20" customHeight="1">
      <c r="B146" s="65" t="n"/>
      <c r="C146" s="66" t="n"/>
      <c r="D146" s="66" t="n"/>
      <c r="E146" s="66" t="n"/>
      <c r="F146" s="66" t="n"/>
      <c r="G146" s="66" t="n"/>
      <c r="H146" s="66" t="n"/>
      <c r="I146" s="67">
        <f>IF(B146="","",(D146="No")+(E146="No")+(F146="No")+(G146="No")+(H146="No"))</f>
        <v/>
      </c>
      <c r="J146" s="68">
        <f>IF(B146="","",IF(I146=0,"Done",IF(C146="High","Fix first",IF(C146="Moderate","Fix next",IF(C146="Low","Later","Set category")))))</f>
        <v/>
      </c>
    </row>
    <row r="147" ht="20" customHeight="1">
      <c r="B147" s="65" t="n"/>
      <c r="C147" s="66" t="n"/>
      <c r="D147" s="66" t="n"/>
      <c r="E147" s="66" t="n"/>
      <c r="F147" s="66" t="n"/>
      <c r="G147" s="66" t="n"/>
      <c r="H147" s="66" t="n"/>
      <c r="I147" s="67">
        <f>IF(B147="","",(D147="No")+(E147="No")+(F147="No")+(G147="No")+(H147="No"))</f>
        <v/>
      </c>
      <c r="J147" s="68">
        <f>IF(B147="","",IF(I147=0,"Done",IF(C147="High","Fix first",IF(C147="Moderate","Fix next",IF(C147="Low","Later","Set category")))))</f>
        <v/>
      </c>
    </row>
    <row r="148" ht="20" customHeight="1">
      <c r="B148" s="65" t="n"/>
      <c r="C148" s="66" t="n"/>
      <c r="D148" s="66" t="n"/>
      <c r="E148" s="66" t="n"/>
      <c r="F148" s="66" t="n"/>
      <c r="G148" s="66" t="n"/>
      <c r="H148" s="66" t="n"/>
      <c r="I148" s="67">
        <f>IF(B148="","",(D148="No")+(E148="No")+(F148="No")+(G148="No")+(H148="No"))</f>
        <v/>
      </c>
      <c r="J148" s="68">
        <f>IF(B148="","",IF(I148=0,"Done",IF(C148="High","Fix first",IF(C148="Moderate","Fix next",IF(C148="Low","Later","Set category")))))</f>
        <v/>
      </c>
    </row>
    <row r="149" ht="20" customHeight="1">
      <c r="B149" s="65" t="n"/>
      <c r="C149" s="66" t="n"/>
      <c r="D149" s="66" t="n"/>
      <c r="E149" s="66" t="n"/>
      <c r="F149" s="66" t="n"/>
      <c r="G149" s="66" t="n"/>
      <c r="H149" s="66" t="n"/>
      <c r="I149" s="67">
        <f>IF(B149="","",(D149="No")+(E149="No")+(F149="No")+(G149="No")+(H149="No"))</f>
        <v/>
      </c>
      <c r="J149" s="68">
        <f>IF(B149="","",IF(I149=0,"Done",IF(C149="High","Fix first",IF(C149="Moderate","Fix next",IF(C149="Low","Later","Set category")))))</f>
        <v/>
      </c>
    </row>
    <row r="150" ht="20" customHeight="1">
      <c r="B150" s="65" t="n"/>
      <c r="C150" s="66" t="n"/>
      <c r="D150" s="66" t="n"/>
      <c r="E150" s="66" t="n"/>
      <c r="F150" s="66" t="n"/>
      <c r="G150" s="66" t="n"/>
      <c r="H150" s="66" t="n"/>
      <c r="I150" s="67">
        <f>IF(B150="","",(D150="No")+(E150="No")+(F150="No")+(G150="No")+(H150="No"))</f>
        <v/>
      </c>
      <c r="J150" s="68">
        <f>IF(B150="","",IF(I150=0,"Done",IF(C150="High","Fix first",IF(C150="Moderate","Fix next",IF(C150="Low","Later","Set category")))))</f>
        <v/>
      </c>
    </row>
    <row r="151" ht="20" customHeight="1">
      <c r="B151" s="65" t="n"/>
      <c r="C151" s="66" t="n"/>
      <c r="D151" s="66" t="n"/>
      <c r="E151" s="66" t="n"/>
      <c r="F151" s="66" t="n"/>
      <c r="G151" s="66" t="n"/>
      <c r="H151" s="66" t="n"/>
      <c r="I151" s="67">
        <f>IF(B151="","",(D151="No")+(E151="No")+(F151="No")+(G151="No")+(H151="No"))</f>
        <v/>
      </c>
      <c r="J151" s="68">
        <f>IF(B151="","",IF(I151=0,"Done",IF(C151="High","Fix first",IF(C151="Moderate","Fix next",IF(C151="Low","Later","Set category")))))</f>
        <v/>
      </c>
    </row>
    <row r="152" ht="20" customHeight="1">
      <c r="B152" s="65" t="n"/>
      <c r="C152" s="66" t="n"/>
      <c r="D152" s="66" t="n"/>
      <c r="E152" s="66" t="n"/>
      <c r="F152" s="66" t="n"/>
      <c r="G152" s="66" t="n"/>
      <c r="H152" s="66" t="n"/>
      <c r="I152" s="67">
        <f>IF(B152="","",(D152="No")+(E152="No")+(F152="No")+(G152="No")+(H152="No"))</f>
        <v/>
      </c>
      <c r="J152" s="68">
        <f>IF(B152="","",IF(I152=0,"Done",IF(C152="High","Fix first",IF(C152="Moderate","Fix next",IF(C152="Low","Later","Set category")))))</f>
        <v/>
      </c>
    </row>
    <row r="153" ht="20" customHeight="1">
      <c r="B153" s="65" t="n"/>
      <c r="C153" s="66" t="n"/>
      <c r="D153" s="66" t="n"/>
      <c r="E153" s="66" t="n"/>
      <c r="F153" s="66" t="n"/>
      <c r="G153" s="66" t="n"/>
      <c r="H153" s="66" t="n"/>
      <c r="I153" s="67">
        <f>IF(B153="","",(D153="No")+(E153="No")+(F153="No")+(G153="No")+(H153="No"))</f>
        <v/>
      </c>
      <c r="J153" s="68">
        <f>IF(B153="","",IF(I153=0,"Done",IF(C153="High","Fix first",IF(C153="Moderate","Fix next",IF(C153="Low","Later","Set category")))))</f>
        <v/>
      </c>
    </row>
    <row r="154" ht="20" customHeight="1">
      <c r="B154" s="65" t="n"/>
      <c r="C154" s="66" t="n"/>
      <c r="D154" s="66" t="n"/>
      <c r="E154" s="66" t="n"/>
      <c r="F154" s="66" t="n"/>
      <c r="G154" s="66" t="n"/>
      <c r="H154" s="66" t="n"/>
      <c r="I154" s="67">
        <f>IF(B154="","",(D154="No")+(E154="No")+(F154="No")+(G154="No")+(H154="No"))</f>
        <v/>
      </c>
      <c r="J154" s="68">
        <f>IF(B154="","",IF(I154=0,"Done",IF(C154="High","Fix first",IF(C154="Moderate","Fix next",IF(C154="Low","Later","Set category")))))</f>
        <v/>
      </c>
    </row>
    <row r="155" ht="20" customHeight="1">
      <c r="B155" s="65" t="n"/>
      <c r="C155" s="66" t="n"/>
      <c r="D155" s="66" t="n"/>
      <c r="E155" s="66" t="n"/>
      <c r="F155" s="66" t="n"/>
      <c r="G155" s="66" t="n"/>
      <c r="H155" s="66" t="n"/>
      <c r="I155" s="67">
        <f>IF(B155="","",(D155="No")+(E155="No")+(F155="No")+(G155="No")+(H155="No"))</f>
        <v/>
      </c>
      <c r="J155" s="68">
        <f>IF(B155="","",IF(I155=0,"Done",IF(C155="High","Fix first",IF(C155="Moderate","Fix next",IF(C155="Low","Later","Set category")))))</f>
        <v/>
      </c>
    </row>
    <row r="156" ht="20" customHeight="1">
      <c r="B156" s="65" t="n"/>
      <c r="C156" s="66" t="n"/>
      <c r="D156" s="66" t="n"/>
      <c r="E156" s="66" t="n"/>
      <c r="F156" s="66" t="n"/>
      <c r="G156" s="66" t="n"/>
      <c r="H156" s="66" t="n"/>
      <c r="I156" s="67">
        <f>IF(B156="","",(D156="No")+(E156="No")+(F156="No")+(G156="No")+(H156="No"))</f>
        <v/>
      </c>
      <c r="J156" s="68">
        <f>IF(B156="","",IF(I156=0,"Done",IF(C156="High","Fix first",IF(C156="Moderate","Fix next",IF(C156="Low","Later","Set category")))))</f>
        <v/>
      </c>
    </row>
    <row r="157" ht="20" customHeight="1">
      <c r="B157" s="65" t="n"/>
      <c r="C157" s="66" t="n"/>
      <c r="D157" s="66" t="n"/>
      <c r="E157" s="66" t="n"/>
      <c r="F157" s="66" t="n"/>
      <c r="G157" s="66" t="n"/>
      <c r="H157" s="66" t="n"/>
      <c r="I157" s="67">
        <f>IF(B157="","",(D157="No")+(E157="No")+(F157="No")+(G157="No")+(H157="No"))</f>
        <v/>
      </c>
      <c r="J157" s="68">
        <f>IF(B157="","",IF(I157=0,"Done",IF(C157="High","Fix first",IF(C157="Moderate","Fix next",IF(C157="Low","Later","Set category")))))</f>
        <v/>
      </c>
    </row>
    <row r="158" ht="20" customHeight="1">
      <c r="B158" s="65" t="n"/>
      <c r="C158" s="66" t="n"/>
      <c r="D158" s="66" t="n"/>
      <c r="E158" s="66" t="n"/>
      <c r="F158" s="66" t="n"/>
      <c r="G158" s="66" t="n"/>
      <c r="H158" s="66" t="n"/>
      <c r="I158" s="67">
        <f>IF(B158="","",(D158="No")+(E158="No")+(F158="No")+(G158="No")+(H158="No"))</f>
        <v/>
      </c>
      <c r="J158" s="68">
        <f>IF(B158="","",IF(I158=0,"Done",IF(C158="High","Fix first",IF(C158="Moderate","Fix next",IF(C158="Low","Later","Set category")))))</f>
        <v/>
      </c>
    </row>
    <row r="159" ht="20" customHeight="1">
      <c r="B159" s="65" t="n"/>
      <c r="C159" s="66" t="n"/>
      <c r="D159" s="66" t="n"/>
      <c r="E159" s="66" t="n"/>
      <c r="F159" s="66" t="n"/>
      <c r="G159" s="66" t="n"/>
      <c r="H159" s="66" t="n"/>
      <c r="I159" s="67">
        <f>IF(B159="","",(D159="No")+(E159="No")+(F159="No")+(G159="No")+(H159="No"))</f>
        <v/>
      </c>
      <c r="J159" s="68">
        <f>IF(B159="","",IF(I159=0,"Done",IF(C159="High","Fix first",IF(C159="Moderate","Fix next",IF(C159="Low","Later","Set category")))))</f>
        <v/>
      </c>
    </row>
    <row r="160" ht="20" customHeight="1">
      <c r="B160" s="65" t="n"/>
      <c r="C160" s="66" t="n"/>
      <c r="D160" s="66" t="n"/>
      <c r="E160" s="66" t="n"/>
      <c r="F160" s="66" t="n"/>
      <c r="G160" s="66" t="n"/>
      <c r="H160" s="66" t="n"/>
      <c r="I160" s="67">
        <f>IF(B160="","",(D160="No")+(E160="No")+(F160="No")+(G160="No")+(H160="No"))</f>
        <v/>
      </c>
      <c r="J160" s="68">
        <f>IF(B160="","",IF(I160=0,"Done",IF(C160="High","Fix first",IF(C160="Moderate","Fix next",IF(C160="Low","Later","Set category")))))</f>
        <v/>
      </c>
    </row>
    <row r="161" ht="20" customHeight="1">
      <c r="B161" s="65" t="n"/>
      <c r="C161" s="66" t="n"/>
      <c r="D161" s="66" t="n"/>
      <c r="E161" s="66" t="n"/>
      <c r="F161" s="66" t="n"/>
      <c r="G161" s="66" t="n"/>
      <c r="H161" s="66" t="n"/>
      <c r="I161" s="67">
        <f>IF(B161="","",(D161="No")+(E161="No")+(F161="No")+(G161="No")+(H161="No"))</f>
        <v/>
      </c>
      <c r="J161" s="68">
        <f>IF(B161="","",IF(I161=0,"Done",IF(C161="High","Fix first",IF(C161="Moderate","Fix next",IF(C161="Low","Later","Set category")))))</f>
        <v/>
      </c>
    </row>
    <row r="162" ht="20" customHeight="1">
      <c r="B162" s="65" t="n"/>
      <c r="C162" s="66" t="n"/>
      <c r="D162" s="66" t="n"/>
      <c r="E162" s="66" t="n"/>
      <c r="F162" s="66" t="n"/>
      <c r="G162" s="66" t="n"/>
      <c r="H162" s="66" t="n"/>
      <c r="I162" s="67">
        <f>IF(B162="","",(D162="No")+(E162="No")+(F162="No")+(G162="No")+(H162="No"))</f>
        <v/>
      </c>
      <c r="J162" s="68">
        <f>IF(B162="","",IF(I162=0,"Done",IF(C162="High","Fix first",IF(C162="Moderate","Fix next",IF(C162="Low","Later","Set category")))))</f>
        <v/>
      </c>
    </row>
    <row r="163" ht="20" customHeight="1">
      <c r="B163" s="65" t="n"/>
      <c r="C163" s="66" t="n"/>
      <c r="D163" s="66" t="n"/>
      <c r="E163" s="66" t="n"/>
      <c r="F163" s="66" t="n"/>
      <c r="G163" s="66" t="n"/>
      <c r="H163" s="66" t="n"/>
      <c r="I163" s="67">
        <f>IF(B163="","",(D163="No")+(E163="No")+(F163="No")+(G163="No")+(H163="No"))</f>
        <v/>
      </c>
      <c r="J163" s="68">
        <f>IF(B163="","",IF(I163=0,"Done",IF(C163="High","Fix first",IF(C163="Moderate","Fix next",IF(C163="Low","Later","Set category")))))</f>
        <v/>
      </c>
    </row>
    <row r="164" ht="20" customHeight="1">
      <c r="B164" s="65" t="n"/>
      <c r="C164" s="66" t="n"/>
      <c r="D164" s="66" t="n"/>
      <c r="E164" s="66" t="n"/>
      <c r="F164" s="66" t="n"/>
      <c r="G164" s="66" t="n"/>
      <c r="H164" s="66" t="n"/>
      <c r="I164" s="67">
        <f>IF(B164="","",(D164="No")+(E164="No")+(F164="No")+(G164="No")+(H164="No"))</f>
        <v/>
      </c>
      <c r="J164" s="68">
        <f>IF(B164="","",IF(I164=0,"Done",IF(C164="High","Fix first",IF(C164="Moderate","Fix next",IF(C164="Low","Later","Set category")))))</f>
        <v/>
      </c>
    </row>
    <row r="165" ht="20" customHeight="1">
      <c r="B165" s="65" t="n"/>
      <c r="C165" s="66" t="n"/>
      <c r="D165" s="66" t="n"/>
      <c r="E165" s="66" t="n"/>
      <c r="F165" s="66" t="n"/>
      <c r="G165" s="66" t="n"/>
      <c r="H165" s="66" t="n"/>
      <c r="I165" s="67">
        <f>IF(B165="","",(D165="No")+(E165="No")+(F165="No")+(G165="No")+(H165="No"))</f>
        <v/>
      </c>
      <c r="J165" s="68">
        <f>IF(B165="","",IF(I165=0,"Done",IF(C165="High","Fix first",IF(C165="Moderate","Fix next",IF(C165="Low","Later","Set category")))))</f>
        <v/>
      </c>
    </row>
    <row r="166" ht="20" customHeight="1">
      <c r="B166" s="65" t="n"/>
      <c r="C166" s="66" t="n"/>
      <c r="D166" s="66" t="n"/>
      <c r="E166" s="66" t="n"/>
      <c r="F166" s="66" t="n"/>
      <c r="G166" s="66" t="n"/>
      <c r="H166" s="66" t="n"/>
      <c r="I166" s="67">
        <f>IF(B166="","",(D166="No")+(E166="No")+(F166="No")+(G166="No")+(H166="No"))</f>
        <v/>
      </c>
      <c r="J166" s="68">
        <f>IF(B166="","",IF(I166=0,"Done",IF(C166="High","Fix first",IF(C166="Moderate","Fix next",IF(C166="Low","Later","Set category")))))</f>
        <v/>
      </c>
    </row>
    <row r="167" ht="20" customHeight="1">
      <c r="B167" s="65" t="n"/>
      <c r="C167" s="66" t="n"/>
      <c r="D167" s="66" t="n"/>
      <c r="E167" s="66" t="n"/>
      <c r="F167" s="66" t="n"/>
      <c r="G167" s="66" t="n"/>
      <c r="H167" s="66" t="n"/>
      <c r="I167" s="67">
        <f>IF(B167="","",(D167="No")+(E167="No")+(F167="No")+(G167="No")+(H167="No"))</f>
        <v/>
      </c>
      <c r="J167" s="68">
        <f>IF(B167="","",IF(I167=0,"Done",IF(C167="High","Fix first",IF(C167="Moderate","Fix next",IF(C167="Low","Later","Set category")))))</f>
        <v/>
      </c>
    </row>
    <row r="168" ht="20" customHeight="1">
      <c r="B168" s="65" t="n"/>
      <c r="C168" s="66" t="n"/>
      <c r="D168" s="66" t="n"/>
      <c r="E168" s="66" t="n"/>
      <c r="F168" s="66" t="n"/>
      <c r="G168" s="66" t="n"/>
      <c r="H168" s="66" t="n"/>
      <c r="I168" s="67">
        <f>IF(B168="","",(D168="No")+(E168="No")+(F168="No")+(G168="No")+(H168="No"))</f>
        <v/>
      </c>
      <c r="J168" s="68">
        <f>IF(B168="","",IF(I168=0,"Done",IF(C168="High","Fix first",IF(C168="Moderate","Fix next",IF(C168="Low","Later","Set category")))))</f>
        <v/>
      </c>
    </row>
    <row r="169" ht="20" customHeight="1">
      <c r="B169" s="65" t="n"/>
      <c r="C169" s="66" t="n"/>
      <c r="D169" s="66" t="n"/>
      <c r="E169" s="66" t="n"/>
      <c r="F169" s="66" t="n"/>
      <c r="G169" s="66" t="n"/>
      <c r="H169" s="66" t="n"/>
      <c r="I169" s="67">
        <f>IF(B169="","",(D169="No")+(E169="No")+(F169="No")+(G169="No")+(H169="No"))</f>
        <v/>
      </c>
      <c r="J169" s="68">
        <f>IF(B169="","",IF(I169=0,"Done",IF(C169="High","Fix first",IF(C169="Moderate","Fix next",IF(C169="Low","Later","Set category")))))</f>
        <v/>
      </c>
    </row>
    <row r="170" ht="20" customHeight="1">
      <c r="B170" s="65" t="n"/>
      <c r="C170" s="66" t="n"/>
      <c r="D170" s="66" t="n"/>
      <c r="E170" s="66" t="n"/>
      <c r="F170" s="66" t="n"/>
      <c r="G170" s="66" t="n"/>
      <c r="H170" s="66" t="n"/>
      <c r="I170" s="67">
        <f>IF(B170="","",(D170="No")+(E170="No")+(F170="No")+(G170="No")+(H170="No"))</f>
        <v/>
      </c>
      <c r="J170" s="68">
        <f>IF(B170="","",IF(I170=0,"Done",IF(C170="High","Fix first",IF(C170="Moderate","Fix next",IF(C170="Low","Later","Set category")))))</f>
        <v/>
      </c>
    </row>
    <row r="171" ht="20" customHeight="1">
      <c r="B171" s="65" t="n"/>
      <c r="C171" s="66" t="n"/>
      <c r="D171" s="66" t="n"/>
      <c r="E171" s="66" t="n"/>
      <c r="F171" s="66" t="n"/>
      <c r="G171" s="66" t="n"/>
      <c r="H171" s="66" t="n"/>
      <c r="I171" s="67">
        <f>IF(B171="","",(D171="No")+(E171="No")+(F171="No")+(G171="No")+(H171="No"))</f>
        <v/>
      </c>
      <c r="J171" s="68">
        <f>IF(B171="","",IF(I171=0,"Done",IF(C171="High","Fix first",IF(C171="Moderate","Fix next",IF(C171="Low","Later","Set category")))))</f>
        <v/>
      </c>
    </row>
    <row r="172" ht="20" customHeight="1">
      <c r="B172" s="65" t="n"/>
      <c r="C172" s="66" t="n"/>
      <c r="D172" s="66" t="n"/>
      <c r="E172" s="66" t="n"/>
      <c r="F172" s="66" t="n"/>
      <c r="G172" s="66" t="n"/>
      <c r="H172" s="66" t="n"/>
      <c r="I172" s="67">
        <f>IF(B172="","",(D172="No")+(E172="No")+(F172="No")+(G172="No")+(H172="No"))</f>
        <v/>
      </c>
      <c r="J172" s="68">
        <f>IF(B172="","",IF(I172=0,"Done",IF(C172="High","Fix first",IF(C172="Moderate","Fix next",IF(C172="Low","Later","Set category")))))</f>
        <v/>
      </c>
    </row>
    <row r="173" ht="20" customHeight="1">
      <c r="B173" s="65" t="n"/>
      <c r="C173" s="66" t="n"/>
      <c r="D173" s="66" t="n"/>
      <c r="E173" s="66" t="n"/>
      <c r="F173" s="66" t="n"/>
      <c r="G173" s="66" t="n"/>
      <c r="H173" s="66" t="n"/>
      <c r="I173" s="67">
        <f>IF(B173="","",(D173="No")+(E173="No")+(F173="No")+(G173="No")+(H173="No"))</f>
        <v/>
      </c>
      <c r="J173" s="68">
        <f>IF(B173="","",IF(I173=0,"Done",IF(C173="High","Fix first",IF(C173="Moderate","Fix next",IF(C173="Low","Later","Set category")))))</f>
        <v/>
      </c>
    </row>
    <row r="174" ht="20" customHeight="1">
      <c r="B174" s="65" t="n"/>
      <c r="C174" s="66" t="n"/>
      <c r="D174" s="66" t="n"/>
      <c r="E174" s="66" t="n"/>
      <c r="F174" s="66" t="n"/>
      <c r="G174" s="66" t="n"/>
      <c r="H174" s="66" t="n"/>
      <c r="I174" s="67">
        <f>IF(B174="","",(D174="No")+(E174="No")+(F174="No")+(G174="No")+(H174="No"))</f>
        <v/>
      </c>
      <c r="J174" s="68">
        <f>IF(B174="","",IF(I174=0,"Done",IF(C174="High","Fix first",IF(C174="Moderate","Fix next",IF(C174="Low","Later","Set category")))))</f>
        <v/>
      </c>
    </row>
    <row r="175" ht="20" customHeight="1">
      <c r="B175" s="65" t="n"/>
      <c r="C175" s="66" t="n"/>
      <c r="D175" s="66" t="n"/>
      <c r="E175" s="66" t="n"/>
      <c r="F175" s="66" t="n"/>
      <c r="G175" s="66" t="n"/>
      <c r="H175" s="66" t="n"/>
      <c r="I175" s="67">
        <f>IF(B175="","",(D175="No")+(E175="No")+(F175="No")+(G175="No")+(H175="No"))</f>
        <v/>
      </c>
      <c r="J175" s="68">
        <f>IF(B175="","",IF(I175=0,"Done",IF(C175="High","Fix first",IF(C175="Moderate","Fix next",IF(C175="Low","Later","Set category")))))</f>
        <v/>
      </c>
    </row>
    <row r="176" ht="20" customHeight="1">
      <c r="B176" s="65" t="n"/>
      <c r="C176" s="66" t="n"/>
      <c r="D176" s="66" t="n"/>
      <c r="E176" s="66" t="n"/>
      <c r="F176" s="66" t="n"/>
      <c r="G176" s="66" t="n"/>
      <c r="H176" s="66" t="n"/>
      <c r="I176" s="67">
        <f>IF(B176="","",(D176="No")+(E176="No")+(F176="No")+(G176="No")+(H176="No"))</f>
        <v/>
      </c>
      <c r="J176" s="68">
        <f>IF(B176="","",IF(I176=0,"Done",IF(C176="High","Fix first",IF(C176="Moderate","Fix next",IF(C176="Low","Later","Set category")))))</f>
        <v/>
      </c>
    </row>
    <row r="177" ht="20" customHeight="1">
      <c r="B177" s="65" t="n"/>
      <c r="C177" s="66" t="n"/>
      <c r="D177" s="66" t="n"/>
      <c r="E177" s="66" t="n"/>
      <c r="F177" s="66" t="n"/>
      <c r="G177" s="66" t="n"/>
      <c r="H177" s="66" t="n"/>
      <c r="I177" s="67">
        <f>IF(B177="","",(D177="No")+(E177="No")+(F177="No")+(G177="No")+(H177="No"))</f>
        <v/>
      </c>
      <c r="J177" s="68">
        <f>IF(B177="","",IF(I177=0,"Done",IF(C177="High","Fix first",IF(C177="Moderate","Fix next",IF(C177="Low","Later","Set category")))))</f>
        <v/>
      </c>
    </row>
    <row r="178" ht="20" customHeight="1">
      <c r="B178" s="65" t="n"/>
      <c r="C178" s="66" t="n"/>
      <c r="D178" s="66" t="n"/>
      <c r="E178" s="66" t="n"/>
      <c r="F178" s="66" t="n"/>
      <c r="G178" s="66" t="n"/>
      <c r="H178" s="66" t="n"/>
      <c r="I178" s="67">
        <f>IF(B178="","",(D178="No")+(E178="No")+(F178="No")+(G178="No")+(H178="No"))</f>
        <v/>
      </c>
      <c r="J178" s="68">
        <f>IF(B178="","",IF(I178=0,"Done",IF(C178="High","Fix first",IF(C178="Moderate","Fix next",IF(C178="Low","Later","Set category")))))</f>
        <v/>
      </c>
    </row>
    <row r="179" ht="20" customHeight="1">
      <c r="B179" s="65" t="n"/>
      <c r="C179" s="66" t="n"/>
      <c r="D179" s="66" t="n"/>
      <c r="E179" s="66" t="n"/>
      <c r="F179" s="66" t="n"/>
      <c r="G179" s="66" t="n"/>
      <c r="H179" s="66" t="n"/>
      <c r="I179" s="67">
        <f>IF(B179="","",(D179="No")+(E179="No")+(F179="No")+(G179="No")+(H179="No"))</f>
        <v/>
      </c>
      <c r="J179" s="68">
        <f>IF(B179="","",IF(I179=0,"Done",IF(C179="High","Fix first",IF(C179="Moderate","Fix next",IF(C179="Low","Later","Set category")))))</f>
        <v/>
      </c>
    </row>
    <row r="180" ht="20" customHeight="1">
      <c r="B180" s="65" t="n"/>
      <c r="C180" s="66" t="n"/>
      <c r="D180" s="66" t="n"/>
      <c r="E180" s="66" t="n"/>
      <c r="F180" s="66" t="n"/>
      <c r="G180" s="66" t="n"/>
      <c r="H180" s="66" t="n"/>
      <c r="I180" s="67">
        <f>IF(B180="","",(D180="No")+(E180="No")+(F180="No")+(G180="No")+(H180="No"))</f>
        <v/>
      </c>
      <c r="J180" s="68">
        <f>IF(B180="","",IF(I180=0,"Done",IF(C180="High","Fix first",IF(C180="Moderate","Fix next",IF(C180="Low","Later","Set category")))))</f>
        <v/>
      </c>
    </row>
    <row r="181" ht="20" customHeight="1">
      <c r="B181" s="65" t="n"/>
      <c r="C181" s="66" t="n"/>
      <c r="D181" s="66" t="n"/>
      <c r="E181" s="66" t="n"/>
      <c r="F181" s="66" t="n"/>
      <c r="G181" s="66" t="n"/>
      <c r="H181" s="66" t="n"/>
      <c r="I181" s="67">
        <f>IF(B181="","",(D181="No")+(E181="No")+(F181="No")+(G181="No")+(H181="No"))</f>
        <v/>
      </c>
      <c r="J181" s="68">
        <f>IF(B181="","",IF(I181=0,"Done",IF(C181="High","Fix first",IF(C181="Moderate","Fix next",IF(C181="Low","Later","Set category")))))</f>
        <v/>
      </c>
    </row>
    <row r="182" ht="20" customHeight="1">
      <c r="B182" s="65" t="n"/>
      <c r="C182" s="66" t="n"/>
      <c r="D182" s="66" t="n"/>
      <c r="E182" s="66" t="n"/>
      <c r="F182" s="66" t="n"/>
      <c r="G182" s="66" t="n"/>
      <c r="H182" s="66" t="n"/>
      <c r="I182" s="67">
        <f>IF(B182="","",(D182="No")+(E182="No")+(F182="No")+(G182="No")+(H182="No"))</f>
        <v/>
      </c>
      <c r="J182" s="68">
        <f>IF(B182="","",IF(I182=0,"Done",IF(C182="High","Fix first",IF(C182="Moderate","Fix next",IF(C182="Low","Later","Set category")))))</f>
        <v/>
      </c>
    </row>
    <row r="183" ht="20" customHeight="1">
      <c r="B183" s="65" t="n"/>
      <c r="C183" s="66" t="n"/>
      <c r="D183" s="66" t="n"/>
      <c r="E183" s="66" t="n"/>
      <c r="F183" s="66" t="n"/>
      <c r="G183" s="66" t="n"/>
      <c r="H183" s="66" t="n"/>
      <c r="I183" s="67">
        <f>IF(B183="","",(D183="No")+(E183="No")+(F183="No")+(G183="No")+(H183="No"))</f>
        <v/>
      </c>
      <c r="J183" s="68">
        <f>IF(B183="","",IF(I183=0,"Done",IF(C183="High","Fix first",IF(C183="Moderate","Fix next",IF(C183="Low","Later","Set category")))))</f>
        <v/>
      </c>
    </row>
    <row r="184" ht="20" customHeight="1">
      <c r="B184" s="65" t="n"/>
      <c r="C184" s="66" t="n"/>
      <c r="D184" s="66" t="n"/>
      <c r="E184" s="66" t="n"/>
      <c r="F184" s="66" t="n"/>
      <c r="G184" s="66" t="n"/>
      <c r="H184" s="66" t="n"/>
      <c r="I184" s="67">
        <f>IF(B184="","",(D184="No")+(E184="No")+(F184="No")+(G184="No")+(H184="No"))</f>
        <v/>
      </c>
      <c r="J184" s="68">
        <f>IF(B184="","",IF(I184=0,"Done",IF(C184="High","Fix first",IF(C184="Moderate","Fix next",IF(C184="Low","Later","Set category")))))</f>
        <v/>
      </c>
    </row>
    <row r="185" ht="20" customHeight="1">
      <c r="B185" s="65" t="n"/>
      <c r="C185" s="66" t="n"/>
      <c r="D185" s="66" t="n"/>
      <c r="E185" s="66" t="n"/>
      <c r="F185" s="66" t="n"/>
      <c r="G185" s="66" t="n"/>
      <c r="H185" s="66" t="n"/>
      <c r="I185" s="67">
        <f>IF(B185="","",(D185="No")+(E185="No")+(F185="No")+(G185="No")+(H185="No"))</f>
        <v/>
      </c>
      <c r="J185" s="68">
        <f>IF(B185="","",IF(I185=0,"Done",IF(C185="High","Fix first",IF(C185="Moderate","Fix next",IF(C185="Low","Later","Set category")))))</f>
        <v/>
      </c>
    </row>
    <row r="186" ht="20" customHeight="1">
      <c r="B186" s="65" t="n"/>
      <c r="C186" s="66" t="n"/>
      <c r="D186" s="66" t="n"/>
      <c r="E186" s="66" t="n"/>
      <c r="F186" s="66" t="n"/>
      <c r="G186" s="66" t="n"/>
      <c r="H186" s="66" t="n"/>
      <c r="I186" s="67">
        <f>IF(B186="","",(D186="No")+(E186="No")+(F186="No")+(G186="No")+(H186="No"))</f>
        <v/>
      </c>
      <c r="J186" s="68">
        <f>IF(B186="","",IF(I186=0,"Done",IF(C186="High","Fix first",IF(C186="Moderate","Fix next",IF(C186="Low","Later","Set category")))))</f>
        <v/>
      </c>
    </row>
    <row r="187" ht="20" customHeight="1">
      <c r="B187" s="65" t="n"/>
      <c r="C187" s="66" t="n"/>
      <c r="D187" s="66" t="n"/>
      <c r="E187" s="66" t="n"/>
      <c r="F187" s="66" t="n"/>
      <c r="G187" s="66" t="n"/>
      <c r="H187" s="66" t="n"/>
      <c r="I187" s="67">
        <f>IF(B187="","",(D187="No")+(E187="No")+(F187="No")+(G187="No")+(H187="No"))</f>
        <v/>
      </c>
      <c r="J187" s="68">
        <f>IF(B187="","",IF(I187=0,"Done",IF(C187="High","Fix first",IF(C187="Moderate","Fix next",IF(C187="Low","Later","Set category")))))</f>
        <v/>
      </c>
    </row>
    <row r="188" ht="20" customHeight="1">
      <c r="B188" s="65" t="n"/>
      <c r="C188" s="66" t="n"/>
      <c r="D188" s="66" t="n"/>
      <c r="E188" s="66" t="n"/>
      <c r="F188" s="66" t="n"/>
      <c r="G188" s="66" t="n"/>
      <c r="H188" s="66" t="n"/>
      <c r="I188" s="67">
        <f>IF(B188="","",(D188="No")+(E188="No")+(F188="No")+(G188="No")+(H188="No"))</f>
        <v/>
      </c>
      <c r="J188" s="68">
        <f>IF(B188="","",IF(I188=0,"Done",IF(C188="High","Fix first",IF(C188="Moderate","Fix next",IF(C188="Low","Later","Set category")))))</f>
        <v/>
      </c>
    </row>
    <row r="189" ht="20" customHeight="1">
      <c r="B189" s="65" t="n"/>
      <c r="C189" s="66" t="n"/>
      <c r="D189" s="66" t="n"/>
      <c r="E189" s="66" t="n"/>
      <c r="F189" s="66" t="n"/>
      <c r="G189" s="66" t="n"/>
      <c r="H189" s="66" t="n"/>
      <c r="I189" s="67">
        <f>IF(B189="","",(D189="No")+(E189="No")+(F189="No")+(G189="No")+(H189="No"))</f>
        <v/>
      </c>
      <c r="J189" s="68">
        <f>IF(B189="","",IF(I189=0,"Done",IF(C189="High","Fix first",IF(C189="Moderate","Fix next",IF(C189="Low","Later","Set category")))))</f>
        <v/>
      </c>
    </row>
    <row r="190" ht="20" customHeight="1">
      <c r="B190" s="65" t="n"/>
      <c r="C190" s="66" t="n"/>
      <c r="D190" s="66" t="n"/>
      <c r="E190" s="66" t="n"/>
      <c r="F190" s="66" t="n"/>
      <c r="G190" s="66" t="n"/>
      <c r="H190" s="66" t="n"/>
      <c r="I190" s="67">
        <f>IF(B190="","",(D190="No")+(E190="No")+(F190="No")+(G190="No")+(H190="No"))</f>
        <v/>
      </c>
      <c r="J190" s="68">
        <f>IF(B190="","",IF(I190=0,"Done",IF(C190="High","Fix first",IF(C190="Moderate","Fix next",IF(C190="Low","Later","Set category")))))</f>
        <v/>
      </c>
    </row>
    <row r="191" ht="20" customHeight="1">
      <c r="B191" s="65" t="n"/>
      <c r="C191" s="66" t="n"/>
      <c r="D191" s="66" t="n"/>
      <c r="E191" s="66" t="n"/>
      <c r="F191" s="66" t="n"/>
      <c r="G191" s="66" t="n"/>
      <c r="H191" s="66" t="n"/>
      <c r="I191" s="67">
        <f>IF(B191="","",(D191="No")+(E191="No")+(F191="No")+(G191="No")+(H191="No"))</f>
        <v/>
      </c>
      <c r="J191" s="68">
        <f>IF(B191="","",IF(I191=0,"Done",IF(C191="High","Fix first",IF(C191="Moderate","Fix next",IF(C191="Low","Later","Set category")))))</f>
        <v/>
      </c>
    </row>
    <row r="192" ht="20" customHeight="1">
      <c r="B192" s="65" t="n"/>
      <c r="C192" s="66" t="n"/>
      <c r="D192" s="66" t="n"/>
      <c r="E192" s="66" t="n"/>
      <c r="F192" s="66" t="n"/>
      <c r="G192" s="66" t="n"/>
      <c r="H192" s="66" t="n"/>
      <c r="I192" s="67">
        <f>IF(B192="","",(D192="No")+(E192="No")+(F192="No")+(G192="No")+(H192="No"))</f>
        <v/>
      </c>
      <c r="J192" s="68">
        <f>IF(B192="","",IF(I192=0,"Done",IF(C192="High","Fix first",IF(C192="Moderate","Fix next",IF(C192="Low","Later","Set category")))))</f>
        <v/>
      </c>
    </row>
    <row r="193" ht="20" customHeight="1">
      <c r="B193" s="65" t="n"/>
      <c r="C193" s="66" t="n"/>
      <c r="D193" s="66" t="n"/>
      <c r="E193" s="66" t="n"/>
      <c r="F193" s="66" t="n"/>
      <c r="G193" s="66" t="n"/>
      <c r="H193" s="66" t="n"/>
      <c r="I193" s="67">
        <f>IF(B193="","",(D193="No")+(E193="No")+(F193="No")+(G193="No")+(H193="No"))</f>
        <v/>
      </c>
      <c r="J193" s="68">
        <f>IF(B193="","",IF(I193=0,"Done",IF(C193="High","Fix first",IF(C193="Moderate","Fix next",IF(C193="Low","Later","Set category")))))</f>
        <v/>
      </c>
    </row>
    <row r="194" ht="20" customHeight="1">
      <c r="B194" s="65" t="n"/>
      <c r="C194" s="66" t="n"/>
      <c r="D194" s="66" t="n"/>
      <c r="E194" s="66" t="n"/>
      <c r="F194" s="66" t="n"/>
      <c r="G194" s="66" t="n"/>
      <c r="H194" s="66" t="n"/>
      <c r="I194" s="67">
        <f>IF(B194="","",(D194="No")+(E194="No")+(F194="No")+(G194="No")+(H194="No"))</f>
        <v/>
      </c>
      <c r="J194" s="68">
        <f>IF(B194="","",IF(I194=0,"Done",IF(C194="High","Fix first",IF(C194="Moderate","Fix next",IF(C194="Low","Later","Set category")))))</f>
        <v/>
      </c>
    </row>
    <row r="195" ht="20" customHeight="1">
      <c r="B195" s="65" t="n"/>
      <c r="C195" s="66" t="n"/>
      <c r="D195" s="66" t="n"/>
      <c r="E195" s="66" t="n"/>
      <c r="F195" s="66" t="n"/>
      <c r="G195" s="66" t="n"/>
      <c r="H195" s="66" t="n"/>
      <c r="I195" s="67">
        <f>IF(B195="","",(D195="No")+(E195="No")+(F195="No")+(G195="No")+(H195="No"))</f>
        <v/>
      </c>
      <c r="J195" s="68">
        <f>IF(B195="","",IF(I195=0,"Done",IF(C195="High","Fix first",IF(C195="Moderate","Fix next",IF(C195="Low","Later","Set category")))))</f>
        <v/>
      </c>
    </row>
    <row r="196" ht="20" customHeight="1">
      <c r="B196" s="65" t="n"/>
      <c r="C196" s="66" t="n"/>
      <c r="D196" s="66" t="n"/>
      <c r="E196" s="66" t="n"/>
      <c r="F196" s="66" t="n"/>
      <c r="G196" s="66" t="n"/>
      <c r="H196" s="66" t="n"/>
      <c r="I196" s="67">
        <f>IF(B196="","",(D196="No")+(E196="No")+(F196="No")+(G196="No")+(H196="No"))</f>
        <v/>
      </c>
      <c r="J196" s="68">
        <f>IF(B196="","",IF(I196=0,"Done",IF(C196="High","Fix first",IF(C196="Moderate","Fix next",IF(C196="Low","Later","Set category")))))</f>
        <v/>
      </c>
    </row>
    <row r="197" ht="20" customHeight="1">
      <c r="B197" s="65" t="n"/>
      <c r="C197" s="66" t="n"/>
      <c r="D197" s="66" t="n"/>
      <c r="E197" s="66" t="n"/>
      <c r="F197" s="66" t="n"/>
      <c r="G197" s="66" t="n"/>
      <c r="H197" s="66" t="n"/>
      <c r="I197" s="67">
        <f>IF(B197="","",(D197="No")+(E197="No")+(F197="No")+(G197="No")+(H197="No"))</f>
        <v/>
      </c>
      <c r="J197" s="68">
        <f>IF(B197="","",IF(I197=0,"Done",IF(C197="High","Fix first",IF(C197="Moderate","Fix next",IF(C197="Low","Later","Set category")))))</f>
        <v/>
      </c>
    </row>
    <row r="198" ht="20" customHeight="1">
      <c r="B198" s="65" t="n"/>
      <c r="C198" s="66" t="n"/>
      <c r="D198" s="66" t="n"/>
      <c r="E198" s="66" t="n"/>
      <c r="F198" s="66" t="n"/>
      <c r="G198" s="66" t="n"/>
      <c r="H198" s="66" t="n"/>
      <c r="I198" s="67">
        <f>IF(B198="","",(D198="No")+(E198="No")+(F198="No")+(G198="No")+(H198="No"))</f>
        <v/>
      </c>
      <c r="J198" s="68">
        <f>IF(B198="","",IF(I198=0,"Done",IF(C198="High","Fix first",IF(C198="Moderate","Fix next",IF(C198="Low","Later","Set category")))))</f>
        <v/>
      </c>
    </row>
    <row r="199" ht="20" customHeight="1">
      <c r="B199" s="65" t="n"/>
      <c r="C199" s="66" t="n"/>
      <c r="D199" s="66" t="n"/>
      <c r="E199" s="66" t="n"/>
      <c r="F199" s="66" t="n"/>
      <c r="G199" s="66" t="n"/>
      <c r="H199" s="66" t="n"/>
      <c r="I199" s="67">
        <f>IF(B199="","",(D199="No")+(E199="No")+(F199="No")+(G199="No")+(H199="No"))</f>
        <v/>
      </c>
      <c r="J199" s="68">
        <f>IF(B199="","",IF(I199=0,"Done",IF(C199="High","Fix first",IF(C199="Moderate","Fix next",IF(C199="Low","Later","Set category")))))</f>
        <v/>
      </c>
    </row>
    <row r="200" ht="20" customHeight="1">
      <c r="B200" s="65" t="n"/>
      <c r="C200" s="66" t="n"/>
      <c r="D200" s="66" t="n"/>
      <c r="E200" s="66" t="n"/>
      <c r="F200" s="66" t="n"/>
      <c r="G200" s="66" t="n"/>
      <c r="H200" s="66" t="n"/>
      <c r="I200" s="67">
        <f>IF(B200="","",(D200="No")+(E200="No")+(F200="No")+(G200="No")+(H200="No"))</f>
        <v/>
      </c>
      <c r="J200" s="68">
        <f>IF(B200="","",IF(I200=0,"Done",IF(C200="High","Fix first",IF(C200="Moderate","Fix next",IF(C200="Low","Later","Set category")))))</f>
        <v/>
      </c>
    </row>
    <row r="201" ht="20" customHeight="1">
      <c r="B201" s="65" t="n"/>
      <c r="C201" s="66" t="n"/>
      <c r="D201" s="66" t="n"/>
      <c r="E201" s="66" t="n"/>
      <c r="F201" s="66" t="n"/>
      <c r="G201" s="66" t="n"/>
      <c r="H201" s="66" t="n"/>
      <c r="I201" s="67">
        <f>IF(B201="","",(D201="No")+(E201="No")+(F201="No")+(G201="No")+(H201="No"))</f>
        <v/>
      </c>
      <c r="J201" s="68">
        <f>IF(B201="","",IF(I201=0,"Done",IF(C201="High","Fix first",IF(C201="Moderate","Fix next",IF(C201="Low","Later","Set category")))))</f>
        <v/>
      </c>
    </row>
    <row r="202" ht="20" customHeight="1">
      <c r="B202" s="65" t="n"/>
      <c r="C202" s="66" t="n"/>
      <c r="D202" s="66" t="n"/>
      <c r="E202" s="66" t="n"/>
      <c r="F202" s="66" t="n"/>
      <c r="G202" s="66" t="n"/>
      <c r="H202" s="66" t="n"/>
      <c r="I202" s="67">
        <f>IF(B202="","",(D202="No")+(E202="No")+(F202="No")+(G202="No")+(H202="No"))</f>
        <v/>
      </c>
      <c r="J202" s="68">
        <f>IF(B202="","",IF(I202=0,"Done",IF(C202="High","Fix first",IF(C202="Moderate","Fix next",IF(C202="Low","Later","Set category")))))</f>
        <v/>
      </c>
    </row>
    <row r="203" ht="20" customHeight="1">
      <c r="B203" s="65" t="n"/>
      <c r="C203" s="66" t="n"/>
      <c r="D203" s="66" t="n"/>
      <c r="E203" s="66" t="n"/>
      <c r="F203" s="66" t="n"/>
      <c r="G203" s="66" t="n"/>
      <c r="H203" s="66" t="n"/>
      <c r="I203" s="67">
        <f>IF(B203="","",(D203="No")+(E203="No")+(F203="No")+(G203="No")+(H203="No"))</f>
        <v/>
      </c>
      <c r="J203" s="68">
        <f>IF(B203="","",IF(I203=0,"Done",IF(C203="High","Fix first",IF(C203="Moderate","Fix next",IF(C203="Low","Later","Set category")))))</f>
        <v/>
      </c>
    </row>
    <row r="204" ht="20" customHeight="1">
      <c r="B204" s="65" t="n"/>
      <c r="C204" s="66" t="n"/>
      <c r="D204" s="66" t="n"/>
      <c r="E204" s="66" t="n"/>
      <c r="F204" s="66" t="n"/>
      <c r="G204" s="66" t="n"/>
      <c r="H204" s="66" t="n"/>
      <c r="I204" s="67">
        <f>IF(B204="","",(D204="No")+(E204="No")+(F204="No")+(G204="No")+(H204="No"))</f>
        <v/>
      </c>
      <c r="J204" s="68">
        <f>IF(B204="","",IF(I204=0,"Done",IF(C204="High","Fix first",IF(C204="Moderate","Fix next",IF(C204="Low","Later","Set category")))))</f>
        <v/>
      </c>
    </row>
    <row r="205" ht="20" customHeight="1">
      <c r="B205" s="65" t="n"/>
      <c r="C205" s="66" t="n"/>
      <c r="D205" s="66" t="n"/>
      <c r="E205" s="66" t="n"/>
      <c r="F205" s="66" t="n"/>
      <c r="G205" s="66" t="n"/>
      <c r="H205" s="66" t="n"/>
      <c r="I205" s="67">
        <f>IF(B205="","",(D205="No")+(E205="No")+(F205="No")+(G205="No")+(H205="No"))</f>
        <v/>
      </c>
      <c r="J205" s="68">
        <f>IF(B205="","",IF(I205=0,"Done",IF(C205="High","Fix first",IF(C205="Moderate","Fix next",IF(C205="Low","Later","Set category")))))</f>
        <v/>
      </c>
    </row>
    <row r="206" ht="20" customHeight="1">
      <c r="B206" s="65" t="n"/>
      <c r="C206" s="66" t="n"/>
      <c r="D206" s="66" t="n"/>
      <c r="E206" s="66" t="n"/>
      <c r="F206" s="66" t="n"/>
      <c r="G206" s="66" t="n"/>
      <c r="H206" s="66" t="n"/>
      <c r="I206" s="67">
        <f>IF(B206="","",(D206="No")+(E206="No")+(F206="No")+(G206="No")+(H206="No"))</f>
        <v/>
      </c>
      <c r="J206" s="68">
        <f>IF(B206="","",IF(I206=0,"Done",IF(C206="High","Fix first",IF(C206="Moderate","Fix next",IF(C206="Low","Later","Set category")))))</f>
        <v/>
      </c>
    </row>
    <row r="207" ht="20" customHeight="1">
      <c r="B207" s="65" t="n"/>
      <c r="C207" s="66" t="n"/>
      <c r="D207" s="66" t="n"/>
      <c r="E207" s="66" t="n"/>
      <c r="F207" s="66" t="n"/>
      <c r="G207" s="66" t="n"/>
      <c r="H207" s="66" t="n"/>
      <c r="I207" s="67">
        <f>IF(B207="","",(D207="No")+(E207="No")+(F207="No")+(G207="No")+(H207="No"))</f>
        <v/>
      </c>
      <c r="J207" s="68">
        <f>IF(B207="","",IF(I207=0,"Done",IF(C207="High","Fix first",IF(C207="Moderate","Fix next",IF(C207="Low","Later","Set category")))))</f>
        <v/>
      </c>
    </row>
  </sheetData>
  <autoFilter ref="B6:J207"/>
  <mergeCells count="1">
    <mergeCell ref="B5:J5"/>
  </mergeCells>
  <conditionalFormatting sqref="C8:C207">
    <cfRule type="cellIs" priority="1" operator="equal" dxfId="0">
      <formula>"High"</formula>
    </cfRule>
    <cfRule type="cellIs" priority="2" operator="equal" dxfId="1">
      <formula>"Moderate"</formula>
    </cfRule>
    <cfRule type="cellIs" priority="3" operator="equal" dxfId="2">
      <formula>"Low"</formula>
    </cfRule>
  </conditionalFormatting>
  <conditionalFormatting sqref="D8:D207">
    <cfRule type="cellIs" priority="4" operator="equal" dxfId="2">
      <formula>"Yes"</formula>
    </cfRule>
    <cfRule type="cellIs" priority="5" operator="equal" dxfId="0">
      <formula>"No"</formula>
    </cfRule>
  </conditionalFormatting>
  <conditionalFormatting sqref="E8:E207">
    <cfRule type="cellIs" priority="6" operator="equal" dxfId="2">
      <formula>"Yes"</formula>
    </cfRule>
    <cfRule type="cellIs" priority="7" operator="equal" dxfId="0">
      <formula>"No"</formula>
    </cfRule>
  </conditionalFormatting>
  <conditionalFormatting sqref="F8:F207">
    <cfRule type="cellIs" priority="8" operator="equal" dxfId="2">
      <formula>"Yes"</formula>
    </cfRule>
    <cfRule type="cellIs" priority="9" operator="equal" dxfId="0">
      <formula>"No"</formula>
    </cfRule>
  </conditionalFormatting>
  <conditionalFormatting sqref="G8:G207">
    <cfRule type="cellIs" priority="10" operator="equal" dxfId="2">
      <formula>"Yes"</formula>
    </cfRule>
    <cfRule type="cellIs" priority="11" operator="equal" dxfId="0">
      <formula>"No"</formula>
    </cfRule>
  </conditionalFormatting>
  <conditionalFormatting sqref="H8:H207">
    <cfRule type="cellIs" priority="12" operator="equal" dxfId="2">
      <formula>"Yes"</formula>
    </cfRule>
    <cfRule type="cellIs" priority="13" operator="equal" dxfId="0">
      <formula>"No"</formula>
    </cfRule>
  </conditionalFormatting>
  <conditionalFormatting sqref="I8:I207">
    <cfRule type="expression" priority="14" dxfId="0">
      <formula>AND(ISNUMBER(I8),I8&gt;=3)</formula>
    </cfRule>
    <cfRule type="expression" priority="15" dxfId="1">
      <formula>AND(ISNUMBER(I8),I8&gt;=1)</formula>
    </cfRule>
    <cfRule type="expression" priority="16" dxfId="2">
      <formula>AND(ISNUMBER(I8),I8=0)</formula>
    </cfRule>
  </conditionalFormatting>
  <conditionalFormatting sqref="J8:J207">
    <cfRule type="cellIs" priority="17" operator="equal" dxfId="0">
      <formula>"Fix first"</formula>
    </cfRule>
    <cfRule type="cellIs" priority="18" operator="equal" dxfId="1">
      <formula>"Fix next"</formula>
    </cfRule>
    <cfRule type="cellIs" priority="19" operator="equal" dxfId="3">
      <formula>"Later"</formula>
    </cfRule>
    <cfRule type="cellIs" priority="20" operator="equal" dxfId="2">
      <formula>"Done"</formula>
    </cfRule>
    <cfRule type="cellIs" priority="21" operator="equal" dxfId="3">
      <formula>"Set category"</formula>
    </cfRule>
  </conditionalFormatting>
  <dataValidations count="6">
    <dataValidation sqref="C7:C207" showDropDown="0" showInputMessage="0" showErrorMessage="1" allowBlank="1" errorTitle="Pick from the list" error="Choose one of: Low, Moderate, High" type="list">
      <formula1>"Low,Moderate,High"</formula1>
    </dataValidation>
    <dataValidation sqref="D7:D207" showDropDown="0" showInputMessage="0" showErrorMessage="1" allowBlank="1" errorTitle="Pick from the list" error="Choose one of: Yes, No" type="list">
      <formula1>"Yes,No"</formula1>
    </dataValidation>
    <dataValidation sqref="E7:E207" showDropDown="0" showInputMessage="0" showErrorMessage="1" allowBlank="1" errorTitle="Pick from the list" error="Choose one of: Yes, No" type="list">
      <formula1>"Yes,No"</formula1>
    </dataValidation>
    <dataValidation sqref="F7:F207" showDropDown="0" showInputMessage="0" showErrorMessage="1" allowBlank="1" errorTitle="Pick from the list" error="Choose one of: Yes, No" type="list">
      <formula1>"Yes,No"</formula1>
    </dataValidation>
    <dataValidation sqref="G7:G207" showDropDown="0" showInputMessage="0" showErrorMessage="1" allowBlank="1" errorTitle="Pick from the list" error="Choose one of: Yes, No, N/A" type="list">
      <formula1>"Yes,No,N/A"</formula1>
    </dataValidation>
    <dataValidation sqref="H7:H207" showDropDown="0" showInputMessage="0" showErrorMessage="1" allowBlank="1" errorTitle="Pick from the list" error="Choose one of: Yes, No" type="list">
      <formula1>"Yes,No"</formula1>
    </dataValidation>
  </dataValidations>
  <hyperlinks>
    <hyperlink ref="J2" location="'Start Here'!A1" display="Start Here"/>
  </hyperlinks>
  <pageMargins left="0.4" right="0.4" top="0.5" bottom="0.5"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tabColor rgb="002A78D6"/>
    <outlinePr summaryBelow="1" summaryRight="1"/>
    <pageSetUpPr fitToPage="1"/>
  </sheetPr>
  <dimension ref="A1:L207"/>
  <sheetViews>
    <sheetView showGridLines="0" zoomScale="10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2" customWidth="1" min="2" max="2"/>
    <col width="11.5" customWidth="1" min="3" max="3"/>
    <col width="26" customWidth="1" min="4" max="4"/>
    <col width="10" customWidth="1" min="5" max="5"/>
    <col width="12.5" customWidth="1" min="6" max="6"/>
    <col width="10" customWidth="1" min="7" max="7"/>
    <col width="12.5" customWidth="1" min="8" max="8"/>
    <col width="10" customWidth="1" min="9" max="9"/>
    <col width="9.5" customWidth="1" min="10" max="10"/>
    <col width="14.5" customWidth="1" min="11" max="11"/>
    <col width="2.5" customWidth="1" min="12" max="12"/>
  </cols>
  <sheetData>
    <row r="1" ht="10" customHeight="1">
      <c r="A1" s="1" t="n"/>
      <c r="B1" s="1" t="n"/>
      <c r="C1" s="1" t="n"/>
      <c r="D1" s="1" t="n"/>
      <c r="E1" s="1" t="n"/>
      <c r="F1" s="1" t="n"/>
      <c r="G1" s="1" t="n"/>
      <c r="H1" s="1" t="n"/>
      <c r="I1" s="1" t="n"/>
      <c r="J1" s="1" t="n"/>
      <c r="K1" s="1" t="n"/>
      <c r="L1" s="1" t="n"/>
    </row>
    <row r="2" ht="34" customHeight="1">
      <c r="A2" s="1" t="n"/>
      <c r="B2" s="2" t="inlineStr">
        <is>
          <t>Information</t>
        </is>
      </c>
      <c r="C2" s="1" t="n"/>
      <c r="D2" s="1" t="n"/>
      <c r="E2" s="1" t="n"/>
      <c r="F2" s="1" t="n"/>
      <c r="G2" s="1" t="n"/>
      <c r="H2" s="1" t="n"/>
      <c r="I2" s="1" t="n"/>
      <c r="J2" s="1" t="n"/>
      <c r="K2" s="31" t="inlineStr">
        <is>
          <t>← Start Here</t>
        </is>
      </c>
      <c r="L2" s="1" t="n"/>
    </row>
    <row r="3" ht="20" customHeight="1">
      <c r="A3" s="1" t="n"/>
      <c r="B3" s="3" t="inlineStr">
        <is>
          <t>The data you can’t afford to lose or leak</t>
        </is>
      </c>
      <c r="C3" s="1" t="n"/>
      <c r="D3" s="1" t="n"/>
      <c r="E3" s="1" t="n"/>
      <c r="F3" s="1" t="n"/>
      <c r="G3" s="1" t="n"/>
      <c r="H3" s="1" t="n"/>
      <c r="I3" s="1" t="n"/>
      <c r="J3" s="1" t="n"/>
      <c r="K3" s="1" t="n"/>
      <c r="L3" s="1" t="n"/>
    </row>
    <row r="4" ht="12" customHeight="1">
      <c r="A4" s="1" t="n"/>
      <c r="B4" s="1" t="n"/>
      <c r="C4" s="1" t="n"/>
      <c r="D4" s="1" t="n"/>
      <c r="E4" s="1" t="n"/>
      <c r="F4" s="1" t="n"/>
      <c r="G4" s="1" t="n"/>
      <c r="H4" s="1" t="n"/>
      <c r="I4" s="1" t="n"/>
      <c r="J4" s="1" t="n"/>
      <c r="K4" s="1" t="n"/>
      <c r="L4" s="1" t="n"/>
    </row>
    <row r="5" ht="32.2" customHeight="1">
      <c r="B5" s="58" t="inlineStr">
        <is>
          <t>List the information that matters: photos, tax and financial records, IDs and passports, medical records, work files, password manager vault. Order this by security category.</t>
        </is>
      </c>
    </row>
    <row r="6" ht="40.4" customHeight="1">
      <c r="B6" s="59" t="inlineStr">
        <is>
          <t>Information</t>
        </is>
      </c>
      <c r="C6" s="60" t="inlineStr">
        <is>
          <t>Security Category</t>
        </is>
      </c>
      <c r="D6" s="60" t="inlineStr">
        <is>
          <t>Where It Lives</t>
        </is>
      </c>
      <c r="E6" s="60" t="inlineStr">
        <is>
          <t>Backed Up</t>
        </is>
      </c>
      <c r="F6" s="60" t="inlineStr">
        <is>
          <t>Off-device Copy</t>
        </is>
      </c>
      <c r="G6" s="60" t="inlineStr">
        <is>
          <t>Restore Tested</t>
        </is>
      </c>
      <c r="H6" s="60" t="inlineStr">
        <is>
          <t>Encrypted</t>
        </is>
      </c>
      <c r="I6" s="60" t="inlineStr">
        <is>
          <t>Access Limited</t>
        </is>
      </c>
      <c r="J6" s="60" t="inlineStr">
        <is>
          <t>Gaps</t>
        </is>
      </c>
      <c r="K6" s="60" t="inlineStr">
        <is>
          <t>Priority</t>
        </is>
      </c>
    </row>
    <row r="7" ht="20" customHeight="1">
      <c r="B7" s="61" t="inlineStr">
        <is>
          <t>Example: tax &amp; financial records</t>
        </is>
      </c>
      <c r="C7" s="62" t="inlineStr">
        <is>
          <t>High</t>
        </is>
      </c>
      <c r="D7" s="62" t="inlineStr">
        <is>
          <t>Laptop + cloud drive</t>
        </is>
      </c>
      <c r="E7" s="62" t="inlineStr">
        <is>
          <t>Yes</t>
        </is>
      </c>
      <c r="F7" s="62" t="inlineStr">
        <is>
          <t>Yes</t>
        </is>
      </c>
      <c r="G7" s="62" t="inlineStr">
        <is>
          <t>No</t>
        </is>
      </c>
      <c r="H7" s="62" t="inlineStr">
        <is>
          <t>Yes</t>
        </is>
      </c>
      <c r="I7" s="62" t="inlineStr">
        <is>
          <t>Yes</t>
        </is>
      </c>
      <c r="J7" s="63">
        <f>IF(B7="","",(E7="No")+(F7="No")+(G7="No")+(H7="No")+(I7="No"))</f>
        <v/>
      </c>
      <c r="K7" s="64">
        <f>IF(B7="","",IF(J7=0,"Done",IF(C7="High","Fix first",IF(C7="Moderate","Fix next",IF(C7="Low","Later","Set category")))))</f>
        <v/>
      </c>
    </row>
    <row r="8" ht="20" customHeight="1">
      <c r="B8" s="65" t="n"/>
      <c r="C8" s="66" t="n"/>
      <c r="D8" s="66" t="n"/>
      <c r="E8" s="66" t="n"/>
      <c r="F8" s="66" t="n"/>
      <c r="G8" s="66" t="n"/>
      <c r="H8" s="66" t="n"/>
      <c r="I8" s="66" t="n"/>
      <c r="J8" s="67">
        <f>IF(B8="","",(E8="No")+(F8="No")+(G8="No")+(H8="No")+(I8="No"))</f>
        <v/>
      </c>
      <c r="K8" s="68">
        <f>IF(B8="","",IF(J8=0,"Done",IF(C8="High","Fix first",IF(C8="Moderate","Fix next",IF(C8="Low","Later","Set category")))))</f>
        <v/>
      </c>
    </row>
    <row r="9" ht="20" customHeight="1">
      <c r="B9" s="65" t="n"/>
      <c r="C9" s="66" t="n"/>
      <c r="D9" s="66" t="n"/>
      <c r="E9" s="66" t="n"/>
      <c r="F9" s="66" t="n"/>
      <c r="G9" s="66" t="n"/>
      <c r="H9" s="66" t="n"/>
      <c r="I9" s="66" t="n"/>
      <c r="J9" s="67">
        <f>IF(B9="","",(E9="No")+(F9="No")+(G9="No")+(H9="No")+(I9="No"))</f>
        <v/>
      </c>
      <c r="K9" s="68">
        <f>IF(B9="","",IF(J9=0,"Done",IF(C9="High","Fix first",IF(C9="Moderate","Fix next",IF(C9="Low","Later","Set category")))))</f>
        <v/>
      </c>
    </row>
    <row r="10" ht="20" customHeight="1">
      <c r="B10" s="65" t="n"/>
      <c r="C10" s="66" t="n"/>
      <c r="D10" s="66" t="n"/>
      <c r="E10" s="66" t="n"/>
      <c r="F10" s="66" t="n"/>
      <c r="G10" s="66" t="n"/>
      <c r="H10" s="66" t="n"/>
      <c r="I10" s="66" t="n"/>
      <c r="J10" s="67">
        <f>IF(B10="","",(E10="No")+(F10="No")+(G10="No")+(H10="No")+(I10="No"))</f>
        <v/>
      </c>
      <c r="K10" s="68">
        <f>IF(B10="","",IF(J10=0,"Done",IF(C10="High","Fix first",IF(C10="Moderate","Fix next",IF(C10="Low","Later","Set category")))))</f>
        <v/>
      </c>
    </row>
    <row r="11" ht="20" customHeight="1">
      <c r="B11" s="65" t="n"/>
      <c r="C11" s="66" t="n"/>
      <c r="D11" s="66" t="n"/>
      <c r="E11" s="66" t="n"/>
      <c r="F11" s="66" t="n"/>
      <c r="G11" s="66" t="n"/>
      <c r="H11" s="66" t="n"/>
      <c r="I11" s="66" t="n"/>
      <c r="J11" s="67">
        <f>IF(B11="","",(E11="No")+(F11="No")+(G11="No")+(H11="No")+(I11="No"))</f>
        <v/>
      </c>
      <c r="K11" s="68">
        <f>IF(B11="","",IF(J11=0,"Done",IF(C11="High","Fix first",IF(C11="Moderate","Fix next",IF(C11="Low","Later","Set category")))))</f>
        <v/>
      </c>
    </row>
    <row r="12" ht="20" customHeight="1">
      <c r="B12" s="65" t="n"/>
      <c r="C12" s="66" t="n"/>
      <c r="D12" s="66" t="n"/>
      <c r="E12" s="66" t="n"/>
      <c r="F12" s="66" t="n"/>
      <c r="G12" s="66" t="n"/>
      <c r="H12" s="66" t="n"/>
      <c r="I12" s="66" t="n"/>
      <c r="J12" s="67">
        <f>IF(B12="","",(E12="No")+(F12="No")+(G12="No")+(H12="No")+(I12="No"))</f>
        <v/>
      </c>
      <c r="K12" s="68">
        <f>IF(B12="","",IF(J12=0,"Done",IF(C12="High","Fix first",IF(C12="Moderate","Fix next",IF(C12="Low","Later","Set category")))))</f>
        <v/>
      </c>
    </row>
    <row r="13" ht="20" customHeight="1">
      <c r="B13" s="65" t="n"/>
      <c r="C13" s="66" t="n"/>
      <c r="D13" s="66" t="n"/>
      <c r="E13" s="66" t="n"/>
      <c r="F13" s="66" t="n"/>
      <c r="G13" s="66" t="n"/>
      <c r="H13" s="66" t="n"/>
      <c r="I13" s="66" t="n"/>
      <c r="J13" s="67">
        <f>IF(B13="","",(E13="No")+(F13="No")+(G13="No")+(H13="No")+(I13="No"))</f>
        <v/>
      </c>
      <c r="K13" s="68">
        <f>IF(B13="","",IF(J13=0,"Done",IF(C13="High","Fix first",IF(C13="Moderate","Fix next",IF(C13="Low","Later","Set category")))))</f>
        <v/>
      </c>
    </row>
    <row r="14" ht="20" customHeight="1">
      <c r="B14" s="65" t="n"/>
      <c r="C14" s="66" t="n"/>
      <c r="D14" s="66" t="n"/>
      <c r="E14" s="66" t="n"/>
      <c r="F14" s="66" t="n"/>
      <c r="G14" s="66" t="n"/>
      <c r="H14" s="66" t="n"/>
      <c r="I14" s="66" t="n"/>
      <c r="J14" s="67">
        <f>IF(B14="","",(E14="No")+(F14="No")+(G14="No")+(H14="No")+(I14="No"))</f>
        <v/>
      </c>
      <c r="K14" s="68">
        <f>IF(B14="","",IF(J14=0,"Done",IF(C14="High","Fix first",IF(C14="Moderate","Fix next",IF(C14="Low","Later","Set category")))))</f>
        <v/>
      </c>
    </row>
    <row r="15" ht="20" customHeight="1">
      <c r="B15" s="65" t="n"/>
      <c r="C15" s="66" t="n"/>
      <c r="D15" s="66" t="n"/>
      <c r="E15" s="66" t="n"/>
      <c r="F15" s="66" t="n"/>
      <c r="G15" s="66" t="n"/>
      <c r="H15" s="66" t="n"/>
      <c r="I15" s="66" t="n"/>
      <c r="J15" s="67">
        <f>IF(B15="","",(E15="No")+(F15="No")+(G15="No")+(H15="No")+(I15="No"))</f>
        <v/>
      </c>
      <c r="K15" s="68">
        <f>IF(B15="","",IF(J15=0,"Done",IF(C15="High","Fix first",IF(C15="Moderate","Fix next",IF(C15="Low","Later","Set category")))))</f>
        <v/>
      </c>
    </row>
    <row r="16" ht="20" customHeight="1">
      <c r="B16" s="65" t="n"/>
      <c r="C16" s="66" t="n"/>
      <c r="D16" s="66" t="n"/>
      <c r="E16" s="66" t="n"/>
      <c r="F16" s="66" t="n"/>
      <c r="G16" s="66" t="n"/>
      <c r="H16" s="66" t="n"/>
      <c r="I16" s="66" t="n"/>
      <c r="J16" s="67">
        <f>IF(B16="","",(E16="No")+(F16="No")+(G16="No")+(H16="No")+(I16="No"))</f>
        <v/>
      </c>
      <c r="K16" s="68">
        <f>IF(B16="","",IF(J16=0,"Done",IF(C16="High","Fix first",IF(C16="Moderate","Fix next",IF(C16="Low","Later","Set category")))))</f>
        <v/>
      </c>
    </row>
    <row r="17" ht="20" customHeight="1">
      <c r="B17" s="65" t="n"/>
      <c r="C17" s="66" t="n"/>
      <c r="D17" s="66" t="n"/>
      <c r="E17" s="66" t="n"/>
      <c r="F17" s="66" t="n"/>
      <c r="G17" s="66" t="n"/>
      <c r="H17" s="66" t="n"/>
      <c r="I17" s="66" t="n"/>
      <c r="J17" s="67">
        <f>IF(B17="","",(E17="No")+(F17="No")+(G17="No")+(H17="No")+(I17="No"))</f>
        <v/>
      </c>
      <c r="K17" s="68">
        <f>IF(B17="","",IF(J17=0,"Done",IF(C17="High","Fix first",IF(C17="Moderate","Fix next",IF(C17="Low","Later","Set category")))))</f>
        <v/>
      </c>
    </row>
    <row r="18" ht="20" customHeight="1">
      <c r="B18" s="65" t="n"/>
      <c r="C18" s="66" t="n"/>
      <c r="D18" s="66" t="n"/>
      <c r="E18" s="66" t="n"/>
      <c r="F18" s="66" t="n"/>
      <c r="G18" s="66" t="n"/>
      <c r="H18" s="66" t="n"/>
      <c r="I18" s="66" t="n"/>
      <c r="J18" s="67">
        <f>IF(B18="","",(E18="No")+(F18="No")+(G18="No")+(H18="No")+(I18="No"))</f>
        <v/>
      </c>
      <c r="K18" s="68">
        <f>IF(B18="","",IF(J18=0,"Done",IF(C18="High","Fix first",IF(C18="Moderate","Fix next",IF(C18="Low","Later","Set category")))))</f>
        <v/>
      </c>
    </row>
    <row r="19" ht="20" customHeight="1">
      <c r="B19" s="65" t="n"/>
      <c r="C19" s="66" t="n"/>
      <c r="D19" s="66" t="n"/>
      <c r="E19" s="66" t="n"/>
      <c r="F19" s="66" t="n"/>
      <c r="G19" s="66" t="n"/>
      <c r="H19" s="66" t="n"/>
      <c r="I19" s="66" t="n"/>
      <c r="J19" s="67">
        <f>IF(B19="","",(E19="No")+(F19="No")+(G19="No")+(H19="No")+(I19="No"))</f>
        <v/>
      </c>
      <c r="K19" s="68">
        <f>IF(B19="","",IF(J19=0,"Done",IF(C19="High","Fix first",IF(C19="Moderate","Fix next",IF(C19="Low","Later","Set category")))))</f>
        <v/>
      </c>
    </row>
    <row r="20" ht="20" customHeight="1">
      <c r="B20" s="65" t="n"/>
      <c r="C20" s="66" t="n"/>
      <c r="D20" s="66" t="n"/>
      <c r="E20" s="66" t="n"/>
      <c r="F20" s="66" t="n"/>
      <c r="G20" s="66" t="n"/>
      <c r="H20" s="66" t="n"/>
      <c r="I20" s="66" t="n"/>
      <c r="J20" s="67">
        <f>IF(B20="","",(E20="No")+(F20="No")+(G20="No")+(H20="No")+(I20="No"))</f>
        <v/>
      </c>
      <c r="K20" s="68">
        <f>IF(B20="","",IF(J20=0,"Done",IF(C20="High","Fix first",IF(C20="Moderate","Fix next",IF(C20="Low","Later","Set category")))))</f>
        <v/>
      </c>
    </row>
    <row r="21" ht="20" customHeight="1">
      <c r="B21" s="65" t="n"/>
      <c r="C21" s="66" t="n"/>
      <c r="D21" s="66" t="n"/>
      <c r="E21" s="66" t="n"/>
      <c r="F21" s="66" t="n"/>
      <c r="G21" s="66" t="n"/>
      <c r="H21" s="66" t="n"/>
      <c r="I21" s="66" t="n"/>
      <c r="J21" s="67">
        <f>IF(B21="","",(E21="No")+(F21="No")+(G21="No")+(H21="No")+(I21="No"))</f>
        <v/>
      </c>
      <c r="K21" s="68">
        <f>IF(B21="","",IF(J21=0,"Done",IF(C21="High","Fix first",IF(C21="Moderate","Fix next",IF(C21="Low","Later","Set category")))))</f>
        <v/>
      </c>
    </row>
    <row r="22" ht="20" customHeight="1">
      <c r="B22" s="65" t="n"/>
      <c r="C22" s="66" t="n"/>
      <c r="D22" s="66" t="n"/>
      <c r="E22" s="66" t="n"/>
      <c r="F22" s="66" t="n"/>
      <c r="G22" s="66" t="n"/>
      <c r="H22" s="66" t="n"/>
      <c r="I22" s="66" t="n"/>
      <c r="J22" s="67">
        <f>IF(B22="","",(E22="No")+(F22="No")+(G22="No")+(H22="No")+(I22="No"))</f>
        <v/>
      </c>
      <c r="K22" s="68">
        <f>IF(B22="","",IF(J22=0,"Done",IF(C22="High","Fix first",IF(C22="Moderate","Fix next",IF(C22="Low","Later","Set category")))))</f>
        <v/>
      </c>
    </row>
    <row r="23" ht="20" customHeight="1">
      <c r="B23" s="65" t="n"/>
      <c r="C23" s="66" t="n"/>
      <c r="D23" s="66" t="n"/>
      <c r="E23" s="66" t="n"/>
      <c r="F23" s="66" t="n"/>
      <c r="G23" s="66" t="n"/>
      <c r="H23" s="66" t="n"/>
      <c r="I23" s="66" t="n"/>
      <c r="J23" s="67">
        <f>IF(B23="","",(E23="No")+(F23="No")+(G23="No")+(H23="No")+(I23="No"))</f>
        <v/>
      </c>
      <c r="K23" s="68">
        <f>IF(B23="","",IF(J23=0,"Done",IF(C23="High","Fix first",IF(C23="Moderate","Fix next",IF(C23="Low","Later","Set category")))))</f>
        <v/>
      </c>
    </row>
    <row r="24" ht="20" customHeight="1">
      <c r="B24" s="65" t="n"/>
      <c r="C24" s="66" t="n"/>
      <c r="D24" s="66" t="n"/>
      <c r="E24" s="66" t="n"/>
      <c r="F24" s="66" t="n"/>
      <c r="G24" s="66" t="n"/>
      <c r="H24" s="66" t="n"/>
      <c r="I24" s="66" t="n"/>
      <c r="J24" s="67">
        <f>IF(B24="","",(E24="No")+(F24="No")+(G24="No")+(H24="No")+(I24="No"))</f>
        <v/>
      </c>
      <c r="K24" s="68">
        <f>IF(B24="","",IF(J24=0,"Done",IF(C24="High","Fix first",IF(C24="Moderate","Fix next",IF(C24="Low","Later","Set category")))))</f>
        <v/>
      </c>
    </row>
    <row r="25" ht="20" customHeight="1">
      <c r="B25" s="65" t="n"/>
      <c r="C25" s="66" t="n"/>
      <c r="D25" s="66" t="n"/>
      <c r="E25" s="66" t="n"/>
      <c r="F25" s="66" t="n"/>
      <c r="G25" s="66" t="n"/>
      <c r="H25" s="66" t="n"/>
      <c r="I25" s="66" t="n"/>
      <c r="J25" s="67">
        <f>IF(B25="","",(E25="No")+(F25="No")+(G25="No")+(H25="No")+(I25="No"))</f>
        <v/>
      </c>
      <c r="K25" s="68">
        <f>IF(B25="","",IF(J25=0,"Done",IF(C25="High","Fix first",IF(C25="Moderate","Fix next",IF(C25="Low","Later","Set category")))))</f>
        <v/>
      </c>
    </row>
    <row r="26" ht="20" customHeight="1">
      <c r="B26" s="65" t="n"/>
      <c r="C26" s="66" t="n"/>
      <c r="D26" s="66" t="n"/>
      <c r="E26" s="66" t="n"/>
      <c r="F26" s="66" t="n"/>
      <c r="G26" s="66" t="n"/>
      <c r="H26" s="66" t="n"/>
      <c r="I26" s="66" t="n"/>
      <c r="J26" s="67">
        <f>IF(B26="","",(E26="No")+(F26="No")+(G26="No")+(H26="No")+(I26="No"))</f>
        <v/>
      </c>
      <c r="K26" s="68">
        <f>IF(B26="","",IF(J26=0,"Done",IF(C26="High","Fix first",IF(C26="Moderate","Fix next",IF(C26="Low","Later","Set category")))))</f>
        <v/>
      </c>
    </row>
    <row r="27" ht="20" customHeight="1">
      <c r="B27" s="65" t="n"/>
      <c r="C27" s="66" t="n"/>
      <c r="D27" s="66" t="n"/>
      <c r="E27" s="66" t="n"/>
      <c r="F27" s="66" t="n"/>
      <c r="G27" s="66" t="n"/>
      <c r="H27" s="66" t="n"/>
      <c r="I27" s="66" t="n"/>
      <c r="J27" s="67">
        <f>IF(B27="","",(E27="No")+(F27="No")+(G27="No")+(H27="No")+(I27="No"))</f>
        <v/>
      </c>
      <c r="K27" s="68">
        <f>IF(B27="","",IF(J27=0,"Done",IF(C27="High","Fix first",IF(C27="Moderate","Fix next",IF(C27="Low","Later","Set category")))))</f>
        <v/>
      </c>
    </row>
    <row r="28" ht="20" customHeight="1">
      <c r="B28" s="65" t="n"/>
      <c r="C28" s="66" t="n"/>
      <c r="D28" s="66" t="n"/>
      <c r="E28" s="66" t="n"/>
      <c r="F28" s="66" t="n"/>
      <c r="G28" s="66" t="n"/>
      <c r="H28" s="66" t="n"/>
      <c r="I28" s="66" t="n"/>
      <c r="J28" s="67">
        <f>IF(B28="","",(E28="No")+(F28="No")+(G28="No")+(H28="No")+(I28="No"))</f>
        <v/>
      </c>
      <c r="K28" s="68">
        <f>IF(B28="","",IF(J28=0,"Done",IF(C28="High","Fix first",IF(C28="Moderate","Fix next",IF(C28="Low","Later","Set category")))))</f>
        <v/>
      </c>
    </row>
    <row r="29" ht="20" customHeight="1">
      <c r="B29" s="65" t="n"/>
      <c r="C29" s="66" t="n"/>
      <c r="D29" s="66" t="n"/>
      <c r="E29" s="66" t="n"/>
      <c r="F29" s="66" t="n"/>
      <c r="G29" s="66" t="n"/>
      <c r="H29" s="66" t="n"/>
      <c r="I29" s="66" t="n"/>
      <c r="J29" s="67">
        <f>IF(B29="","",(E29="No")+(F29="No")+(G29="No")+(H29="No")+(I29="No"))</f>
        <v/>
      </c>
      <c r="K29" s="68">
        <f>IF(B29="","",IF(J29=0,"Done",IF(C29="High","Fix first",IF(C29="Moderate","Fix next",IF(C29="Low","Later","Set category")))))</f>
        <v/>
      </c>
    </row>
    <row r="30" ht="20" customHeight="1">
      <c r="B30" s="65" t="n"/>
      <c r="C30" s="66" t="n"/>
      <c r="D30" s="66" t="n"/>
      <c r="E30" s="66" t="n"/>
      <c r="F30" s="66" t="n"/>
      <c r="G30" s="66" t="n"/>
      <c r="H30" s="66" t="n"/>
      <c r="I30" s="66" t="n"/>
      <c r="J30" s="67">
        <f>IF(B30="","",(E30="No")+(F30="No")+(G30="No")+(H30="No")+(I30="No"))</f>
        <v/>
      </c>
      <c r="K30" s="68">
        <f>IF(B30="","",IF(J30=0,"Done",IF(C30="High","Fix first",IF(C30="Moderate","Fix next",IF(C30="Low","Later","Set category")))))</f>
        <v/>
      </c>
    </row>
    <row r="31" ht="20" customHeight="1">
      <c r="B31" s="65" t="n"/>
      <c r="C31" s="66" t="n"/>
      <c r="D31" s="66" t="n"/>
      <c r="E31" s="66" t="n"/>
      <c r="F31" s="66" t="n"/>
      <c r="G31" s="66" t="n"/>
      <c r="H31" s="66" t="n"/>
      <c r="I31" s="66" t="n"/>
      <c r="J31" s="67">
        <f>IF(B31="","",(E31="No")+(F31="No")+(G31="No")+(H31="No")+(I31="No"))</f>
        <v/>
      </c>
      <c r="K31" s="68">
        <f>IF(B31="","",IF(J31=0,"Done",IF(C31="High","Fix first",IF(C31="Moderate","Fix next",IF(C31="Low","Later","Set category")))))</f>
        <v/>
      </c>
    </row>
    <row r="32" ht="20" customHeight="1">
      <c r="B32" s="65" t="n"/>
      <c r="C32" s="66" t="n"/>
      <c r="D32" s="66" t="n"/>
      <c r="E32" s="66" t="n"/>
      <c r="F32" s="66" t="n"/>
      <c r="G32" s="66" t="n"/>
      <c r="H32" s="66" t="n"/>
      <c r="I32" s="66" t="n"/>
      <c r="J32" s="67">
        <f>IF(B32="","",(E32="No")+(F32="No")+(G32="No")+(H32="No")+(I32="No"))</f>
        <v/>
      </c>
      <c r="K32" s="68">
        <f>IF(B32="","",IF(J32=0,"Done",IF(C32="High","Fix first",IF(C32="Moderate","Fix next",IF(C32="Low","Later","Set category")))))</f>
        <v/>
      </c>
    </row>
    <row r="33" ht="20" customHeight="1">
      <c r="B33" s="65" t="n"/>
      <c r="C33" s="66" t="n"/>
      <c r="D33" s="66" t="n"/>
      <c r="E33" s="66" t="n"/>
      <c r="F33" s="66" t="n"/>
      <c r="G33" s="66" t="n"/>
      <c r="H33" s="66" t="n"/>
      <c r="I33" s="66" t="n"/>
      <c r="J33" s="67">
        <f>IF(B33="","",(E33="No")+(F33="No")+(G33="No")+(H33="No")+(I33="No"))</f>
        <v/>
      </c>
      <c r="K33" s="68">
        <f>IF(B33="","",IF(J33=0,"Done",IF(C33="High","Fix first",IF(C33="Moderate","Fix next",IF(C33="Low","Later","Set category")))))</f>
        <v/>
      </c>
    </row>
    <row r="34" ht="20" customHeight="1">
      <c r="B34" s="65" t="n"/>
      <c r="C34" s="66" t="n"/>
      <c r="D34" s="66" t="n"/>
      <c r="E34" s="66" t="n"/>
      <c r="F34" s="66" t="n"/>
      <c r="G34" s="66" t="n"/>
      <c r="H34" s="66" t="n"/>
      <c r="I34" s="66" t="n"/>
      <c r="J34" s="67">
        <f>IF(B34="","",(E34="No")+(F34="No")+(G34="No")+(H34="No")+(I34="No"))</f>
        <v/>
      </c>
      <c r="K34" s="68">
        <f>IF(B34="","",IF(J34=0,"Done",IF(C34="High","Fix first",IF(C34="Moderate","Fix next",IF(C34="Low","Later","Set category")))))</f>
        <v/>
      </c>
    </row>
    <row r="35" ht="20" customHeight="1">
      <c r="B35" s="65" t="n"/>
      <c r="C35" s="66" t="n"/>
      <c r="D35" s="66" t="n"/>
      <c r="E35" s="66" t="n"/>
      <c r="F35" s="66" t="n"/>
      <c r="G35" s="66" t="n"/>
      <c r="H35" s="66" t="n"/>
      <c r="I35" s="66" t="n"/>
      <c r="J35" s="67">
        <f>IF(B35="","",(E35="No")+(F35="No")+(G35="No")+(H35="No")+(I35="No"))</f>
        <v/>
      </c>
      <c r="K35" s="68">
        <f>IF(B35="","",IF(J35=0,"Done",IF(C35="High","Fix first",IF(C35="Moderate","Fix next",IF(C35="Low","Later","Set category")))))</f>
        <v/>
      </c>
    </row>
    <row r="36" ht="20" customHeight="1">
      <c r="B36" s="65" t="n"/>
      <c r="C36" s="66" t="n"/>
      <c r="D36" s="66" t="n"/>
      <c r="E36" s="66" t="n"/>
      <c r="F36" s="66" t="n"/>
      <c r="G36" s="66" t="n"/>
      <c r="H36" s="66" t="n"/>
      <c r="I36" s="66" t="n"/>
      <c r="J36" s="67">
        <f>IF(B36="","",(E36="No")+(F36="No")+(G36="No")+(H36="No")+(I36="No"))</f>
        <v/>
      </c>
      <c r="K36" s="68">
        <f>IF(B36="","",IF(J36=0,"Done",IF(C36="High","Fix first",IF(C36="Moderate","Fix next",IF(C36="Low","Later","Set category")))))</f>
        <v/>
      </c>
    </row>
    <row r="37" ht="20" customHeight="1">
      <c r="B37" s="65" t="n"/>
      <c r="C37" s="66" t="n"/>
      <c r="D37" s="66" t="n"/>
      <c r="E37" s="66" t="n"/>
      <c r="F37" s="66" t="n"/>
      <c r="G37" s="66" t="n"/>
      <c r="H37" s="66" t="n"/>
      <c r="I37" s="66" t="n"/>
      <c r="J37" s="67">
        <f>IF(B37="","",(E37="No")+(F37="No")+(G37="No")+(H37="No")+(I37="No"))</f>
        <v/>
      </c>
      <c r="K37" s="68">
        <f>IF(B37="","",IF(J37=0,"Done",IF(C37="High","Fix first",IF(C37="Moderate","Fix next",IF(C37="Low","Later","Set category")))))</f>
        <v/>
      </c>
    </row>
    <row r="38" ht="20" customHeight="1">
      <c r="B38" s="65" t="n"/>
      <c r="C38" s="66" t="n"/>
      <c r="D38" s="66" t="n"/>
      <c r="E38" s="66" t="n"/>
      <c r="F38" s="66" t="n"/>
      <c r="G38" s="66" t="n"/>
      <c r="H38" s="66" t="n"/>
      <c r="I38" s="66" t="n"/>
      <c r="J38" s="67">
        <f>IF(B38="","",(E38="No")+(F38="No")+(G38="No")+(H38="No")+(I38="No"))</f>
        <v/>
      </c>
      <c r="K38" s="68">
        <f>IF(B38="","",IF(J38=0,"Done",IF(C38="High","Fix first",IF(C38="Moderate","Fix next",IF(C38="Low","Later","Set category")))))</f>
        <v/>
      </c>
    </row>
    <row r="39" ht="20" customHeight="1">
      <c r="B39" s="65" t="n"/>
      <c r="C39" s="66" t="n"/>
      <c r="D39" s="66" t="n"/>
      <c r="E39" s="66" t="n"/>
      <c r="F39" s="66" t="n"/>
      <c r="G39" s="66" t="n"/>
      <c r="H39" s="66" t="n"/>
      <c r="I39" s="66" t="n"/>
      <c r="J39" s="67">
        <f>IF(B39="","",(E39="No")+(F39="No")+(G39="No")+(H39="No")+(I39="No"))</f>
        <v/>
      </c>
      <c r="K39" s="68">
        <f>IF(B39="","",IF(J39=0,"Done",IF(C39="High","Fix first",IF(C39="Moderate","Fix next",IF(C39="Low","Later","Set category")))))</f>
        <v/>
      </c>
    </row>
    <row r="40" ht="20" customHeight="1">
      <c r="B40" s="65" t="n"/>
      <c r="C40" s="66" t="n"/>
      <c r="D40" s="66" t="n"/>
      <c r="E40" s="66" t="n"/>
      <c r="F40" s="66" t="n"/>
      <c r="G40" s="66" t="n"/>
      <c r="H40" s="66" t="n"/>
      <c r="I40" s="66" t="n"/>
      <c r="J40" s="67">
        <f>IF(B40="","",(E40="No")+(F40="No")+(G40="No")+(H40="No")+(I40="No"))</f>
        <v/>
      </c>
      <c r="K40" s="68">
        <f>IF(B40="","",IF(J40=0,"Done",IF(C40="High","Fix first",IF(C40="Moderate","Fix next",IF(C40="Low","Later","Set category")))))</f>
        <v/>
      </c>
    </row>
    <row r="41" ht="20" customHeight="1">
      <c r="B41" s="65" t="n"/>
      <c r="C41" s="66" t="n"/>
      <c r="D41" s="66" t="n"/>
      <c r="E41" s="66" t="n"/>
      <c r="F41" s="66" t="n"/>
      <c r="G41" s="66" t="n"/>
      <c r="H41" s="66" t="n"/>
      <c r="I41" s="66" t="n"/>
      <c r="J41" s="67">
        <f>IF(B41="","",(E41="No")+(F41="No")+(G41="No")+(H41="No")+(I41="No"))</f>
        <v/>
      </c>
      <c r="K41" s="68">
        <f>IF(B41="","",IF(J41=0,"Done",IF(C41="High","Fix first",IF(C41="Moderate","Fix next",IF(C41="Low","Later","Set category")))))</f>
        <v/>
      </c>
    </row>
    <row r="42" ht="20" customHeight="1">
      <c r="B42" s="65" t="n"/>
      <c r="C42" s="66" t="n"/>
      <c r="D42" s="66" t="n"/>
      <c r="E42" s="66" t="n"/>
      <c r="F42" s="66" t="n"/>
      <c r="G42" s="66" t="n"/>
      <c r="H42" s="66" t="n"/>
      <c r="I42" s="66" t="n"/>
      <c r="J42" s="67">
        <f>IF(B42="","",(E42="No")+(F42="No")+(G42="No")+(H42="No")+(I42="No"))</f>
        <v/>
      </c>
      <c r="K42" s="68">
        <f>IF(B42="","",IF(J42=0,"Done",IF(C42="High","Fix first",IF(C42="Moderate","Fix next",IF(C42="Low","Later","Set category")))))</f>
        <v/>
      </c>
    </row>
    <row r="43" ht="20" customHeight="1">
      <c r="B43" s="65" t="n"/>
      <c r="C43" s="66" t="n"/>
      <c r="D43" s="66" t="n"/>
      <c r="E43" s="66" t="n"/>
      <c r="F43" s="66" t="n"/>
      <c r="G43" s="66" t="n"/>
      <c r="H43" s="66" t="n"/>
      <c r="I43" s="66" t="n"/>
      <c r="J43" s="67">
        <f>IF(B43="","",(E43="No")+(F43="No")+(G43="No")+(H43="No")+(I43="No"))</f>
        <v/>
      </c>
      <c r="K43" s="68">
        <f>IF(B43="","",IF(J43=0,"Done",IF(C43="High","Fix first",IF(C43="Moderate","Fix next",IF(C43="Low","Later","Set category")))))</f>
        <v/>
      </c>
    </row>
    <row r="44" ht="20" customHeight="1">
      <c r="B44" s="65" t="n"/>
      <c r="C44" s="66" t="n"/>
      <c r="D44" s="66" t="n"/>
      <c r="E44" s="66" t="n"/>
      <c r="F44" s="66" t="n"/>
      <c r="G44" s="66" t="n"/>
      <c r="H44" s="66" t="n"/>
      <c r="I44" s="66" t="n"/>
      <c r="J44" s="67">
        <f>IF(B44="","",(E44="No")+(F44="No")+(G44="No")+(H44="No")+(I44="No"))</f>
        <v/>
      </c>
      <c r="K44" s="68">
        <f>IF(B44="","",IF(J44=0,"Done",IF(C44="High","Fix first",IF(C44="Moderate","Fix next",IF(C44="Low","Later","Set category")))))</f>
        <v/>
      </c>
    </row>
    <row r="45" ht="20" customHeight="1">
      <c r="B45" s="65" t="n"/>
      <c r="C45" s="66" t="n"/>
      <c r="D45" s="66" t="n"/>
      <c r="E45" s="66" t="n"/>
      <c r="F45" s="66" t="n"/>
      <c r="G45" s="66" t="n"/>
      <c r="H45" s="66" t="n"/>
      <c r="I45" s="66" t="n"/>
      <c r="J45" s="67">
        <f>IF(B45="","",(E45="No")+(F45="No")+(G45="No")+(H45="No")+(I45="No"))</f>
        <v/>
      </c>
      <c r="K45" s="68">
        <f>IF(B45="","",IF(J45=0,"Done",IF(C45="High","Fix first",IF(C45="Moderate","Fix next",IF(C45="Low","Later","Set category")))))</f>
        <v/>
      </c>
    </row>
    <row r="46" ht="20" customHeight="1">
      <c r="B46" s="65" t="n"/>
      <c r="C46" s="66" t="n"/>
      <c r="D46" s="66" t="n"/>
      <c r="E46" s="66" t="n"/>
      <c r="F46" s="66" t="n"/>
      <c r="G46" s="66" t="n"/>
      <c r="H46" s="66" t="n"/>
      <c r="I46" s="66" t="n"/>
      <c r="J46" s="67">
        <f>IF(B46="","",(E46="No")+(F46="No")+(G46="No")+(H46="No")+(I46="No"))</f>
        <v/>
      </c>
      <c r="K46" s="68">
        <f>IF(B46="","",IF(J46=0,"Done",IF(C46="High","Fix first",IF(C46="Moderate","Fix next",IF(C46="Low","Later","Set category")))))</f>
        <v/>
      </c>
    </row>
    <row r="47" ht="20" customHeight="1">
      <c r="B47" s="65" t="n"/>
      <c r="C47" s="66" t="n"/>
      <c r="D47" s="66" t="n"/>
      <c r="E47" s="66" t="n"/>
      <c r="F47" s="66" t="n"/>
      <c r="G47" s="66" t="n"/>
      <c r="H47" s="66" t="n"/>
      <c r="I47" s="66" t="n"/>
      <c r="J47" s="67">
        <f>IF(B47="","",(E47="No")+(F47="No")+(G47="No")+(H47="No")+(I47="No"))</f>
        <v/>
      </c>
      <c r="K47" s="68">
        <f>IF(B47="","",IF(J47=0,"Done",IF(C47="High","Fix first",IF(C47="Moderate","Fix next",IF(C47="Low","Later","Set category")))))</f>
        <v/>
      </c>
    </row>
    <row r="48" ht="20" customHeight="1">
      <c r="B48" s="65" t="n"/>
      <c r="C48" s="66" t="n"/>
      <c r="D48" s="66" t="n"/>
      <c r="E48" s="66" t="n"/>
      <c r="F48" s="66" t="n"/>
      <c r="G48" s="66" t="n"/>
      <c r="H48" s="66" t="n"/>
      <c r="I48" s="66" t="n"/>
      <c r="J48" s="67">
        <f>IF(B48="","",(E48="No")+(F48="No")+(G48="No")+(H48="No")+(I48="No"))</f>
        <v/>
      </c>
      <c r="K48" s="68">
        <f>IF(B48="","",IF(J48=0,"Done",IF(C48="High","Fix first",IF(C48="Moderate","Fix next",IF(C48="Low","Later","Set category")))))</f>
        <v/>
      </c>
    </row>
    <row r="49" ht="20" customHeight="1">
      <c r="B49" s="65" t="n"/>
      <c r="C49" s="66" t="n"/>
      <c r="D49" s="66" t="n"/>
      <c r="E49" s="66" t="n"/>
      <c r="F49" s="66" t="n"/>
      <c r="G49" s="66" t="n"/>
      <c r="H49" s="66" t="n"/>
      <c r="I49" s="66" t="n"/>
      <c r="J49" s="67">
        <f>IF(B49="","",(E49="No")+(F49="No")+(G49="No")+(H49="No")+(I49="No"))</f>
        <v/>
      </c>
      <c r="K49" s="68">
        <f>IF(B49="","",IF(J49=0,"Done",IF(C49="High","Fix first",IF(C49="Moderate","Fix next",IF(C49="Low","Later","Set category")))))</f>
        <v/>
      </c>
    </row>
    <row r="50" ht="20" customHeight="1">
      <c r="B50" s="65" t="n"/>
      <c r="C50" s="66" t="n"/>
      <c r="D50" s="66" t="n"/>
      <c r="E50" s="66" t="n"/>
      <c r="F50" s="66" t="n"/>
      <c r="G50" s="66" t="n"/>
      <c r="H50" s="66" t="n"/>
      <c r="I50" s="66" t="n"/>
      <c r="J50" s="67">
        <f>IF(B50="","",(E50="No")+(F50="No")+(G50="No")+(H50="No")+(I50="No"))</f>
        <v/>
      </c>
      <c r="K50" s="68">
        <f>IF(B50="","",IF(J50=0,"Done",IF(C50="High","Fix first",IF(C50="Moderate","Fix next",IF(C50="Low","Later","Set category")))))</f>
        <v/>
      </c>
    </row>
    <row r="51" ht="20" customHeight="1">
      <c r="B51" s="65" t="n"/>
      <c r="C51" s="66" t="n"/>
      <c r="D51" s="66" t="n"/>
      <c r="E51" s="66" t="n"/>
      <c r="F51" s="66" t="n"/>
      <c r="G51" s="66" t="n"/>
      <c r="H51" s="66" t="n"/>
      <c r="I51" s="66" t="n"/>
      <c r="J51" s="67">
        <f>IF(B51="","",(E51="No")+(F51="No")+(G51="No")+(H51="No")+(I51="No"))</f>
        <v/>
      </c>
      <c r="K51" s="68">
        <f>IF(B51="","",IF(J51=0,"Done",IF(C51="High","Fix first",IF(C51="Moderate","Fix next",IF(C51="Low","Later","Set category")))))</f>
        <v/>
      </c>
    </row>
    <row r="52" ht="20" customHeight="1">
      <c r="B52" s="65" t="n"/>
      <c r="C52" s="66" t="n"/>
      <c r="D52" s="66" t="n"/>
      <c r="E52" s="66" t="n"/>
      <c r="F52" s="66" t="n"/>
      <c r="G52" s="66" t="n"/>
      <c r="H52" s="66" t="n"/>
      <c r="I52" s="66" t="n"/>
      <c r="J52" s="67">
        <f>IF(B52="","",(E52="No")+(F52="No")+(G52="No")+(H52="No")+(I52="No"))</f>
        <v/>
      </c>
      <c r="K52" s="68">
        <f>IF(B52="","",IF(J52=0,"Done",IF(C52="High","Fix first",IF(C52="Moderate","Fix next",IF(C52="Low","Later","Set category")))))</f>
        <v/>
      </c>
    </row>
    <row r="53" ht="20" customHeight="1">
      <c r="B53" s="65" t="n"/>
      <c r="C53" s="66" t="n"/>
      <c r="D53" s="66" t="n"/>
      <c r="E53" s="66" t="n"/>
      <c r="F53" s="66" t="n"/>
      <c r="G53" s="66" t="n"/>
      <c r="H53" s="66" t="n"/>
      <c r="I53" s="66" t="n"/>
      <c r="J53" s="67">
        <f>IF(B53="","",(E53="No")+(F53="No")+(G53="No")+(H53="No")+(I53="No"))</f>
        <v/>
      </c>
      <c r="K53" s="68">
        <f>IF(B53="","",IF(J53=0,"Done",IF(C53="High","Fix first",IF(C53="Moderate","Fix next",IF(C53="Low","Later","Set category")))))</f>
        <v/>
      </c>
    </row>
    <row r="54" ht="20" customHeight="1">
      <c r="B54" s="65" t="n"/>
      <c r="C54" s="66" t="n"/>
      <c r="D54" s="66" t="n"/>
      <c r="E54" s="66" t="n"/>
      <c r="F54" s="66" t="n"/>
      <c r="G54" s="66" t="n"/>
      <c r="H54" s="66" t="n"/>
      <c r="I54" s="66" t="n"/>
      <c r="J54" s="67">
        <f>IF(B54="","",(E54="No")+(F54="No")+(G54="No")+(H54="No")+(I54="No"))</f>
        <v/>
      </c>
      <c r="K54" s="68">
        <f>IF(B54="","",IF(J54=0,"Done",IF(C54="High","Fix first",IF(C54="Moderate","Fix next",IF(C54="Low","Later","Set category")))))</f>
        <v/>
      </c>
    </row>
    <row r="55" ht="20" customHeight="1">
      <c r="B55" s="65" t="n"/>
      <c r="C55" s="66" t="n"/>
      <c r="D55" s="66" t="n"/>
      <c r="E55" s="66" t="n"/>
      <c r="F55" s="66" t="n"/>
      <c r="G55" s="66" t="n"/>
      <c r="H55" s="66" t="n"/>
      <c r="I55" s="66" t="n"/>
      <c r="J55" s="67">
        <f>IF(B55="","",(E55="No")+(F55="No")+(G55="No")+(H55="No")+(I55="No"))</f>
        <v/>
      </c>
      <c r="K55" s="68">
        <f>IF(B55="","",IF(J55=0,"Done",IF(C55="High","Fix first",IF(C55="Moderate","Fix next",IF(C55="Low","Later","Set category")))))</f>
        <v/>
      </c>
    </row>
    <row r="56" ht="20" customHeight="1">
      <c r="B56" s="65" t="n"/>
      <c r="C56" s="66" t="n"/>
      <c r="D56" s="66" t="n"/>
      <c r="E56" s="66" t="n"/>
      <c r="F56" s="66" t="n"/>
      <c r="G56" s="66" t="n"/>
      <c r="H56" s="66" t="n"/>
      <c r="I56" s="66" t="n"/>
      <c r="J56" s="67">
        <f>IF(B56="","",(E56="No")+(F56="No")+(G56="No")+(H56="No")+(I56="No"))</f>
        <v/>
      </c>
      <c r="K56" s="68">
        <f>IF(B56="","",IF(J56=0,"Done",IF(C56="High","Fix first",IF(C56="Moderate","Fix next",IF(C56="Low","Later","Set category")))))</f>
        <v/>
      </c>
    </row>
    <row r="57" ht="20" customHeight="1">
      <c r="B57" s="65" t="n"/>
      <c r="C57" s="66" t="n"/>
      <c r="D57" s="66" t="n"/>
      <c r="E57" s="66" t="n"/>
      <c r="F57" s="66" t="n"/>
      <c r="G57" s="66" t="n"/>
      <c r="H57" s="66" t="n"/>
      <c r="I57" s="66" t="n"/>
      <c r="J57" s="67">
        <f>IF(B57="","",(E57="No")+(F57="No")+(G57="No")+(H57="No")+(I57="No"))</f>
        <v/>
      </c>
      <c r="K57" s="68">
        <f>IF(B57="","",IF(J57=0,"Done",IF(C57="High","Fix first",IF(C57="Moderate","Fix next",IF(C57="Low","Later","Set category")))))</f>
        <v/>
      </c>
    </row>
    <row r="58" ht="20" customHeight="1">
      <c r="B58" s="65" t="n"/>
      <c r="C58" s="66" t="n"/>
      <c r="D58" s="66" t="n"/>
      <c r="E58" s="66" t="n"/>
      <c r="F58" s="66" t="n"/>
      <c r="G58" s="66" t="n"/>
      <c r="H58" s="66" t="n"/>
      <c r="I58" s="66" t="n"/>
      <c r="J58" s="67">
        <f>IF(B58="","",(E58="No")+(F58="No")+(G58="No")+(H58="No")+(I58="No"))</f>
        <v/>
      </c>
      <c r="K58" s="68">
        <f>IF(B58="","",IF(J58=0,"Done",IF(C58="High","Fix first",IF(C58="Moderate","Fix next",IF(C58="Low","Later","Set category")))))</f>
        <v/>
      </c>
    </row>
    <row r="59" ht="20" customHeight="1">
      <c r="B59" s="65" t="n"/>
      <c r="C59" s="66" t="n"/>
      <c r="D59" s="66" t="n"/>
      <c r="E59" s="66" t="n"/>
      <c r="F59" s="66" t="n"/>
      <c r="G59" s="66" t="n"/>
      <c r="H59" s="66" t="n"/>
      <c r="I59" s="66" t="n"/>
      <c r="J59" s="67">
        <f>IF(B59="","",(E59="No")+(F59="No")+(G59="No")+(H59="No")+(I59="No"))</f>
        <v/>
      </c>
      <c r="K59" s="68">
        <f>IF(B59="","",IF(J59=0,"Done",IF(C59="High","Fix first",IF(C59="Moderate","Fix next",IF(C59="Low","Later","Set category")))))</f>
        <v/>
      </c>
    </row>
    <row r="60" ht="20" customHeight="1">
      <c r="B60" s="65" t="n"/>
      <c r="C60" s="66" t="n"/>
      <c r="D60" s="66" t="n"/>
      <c r="E60" s="66" t="n"/>
      <c r="F60" s="66" t="n"/>
      <c r="G60" s="66" t="n"/>
      <c r="H60" s="66" t="n"/>
      <c r="I60" s="66" t="n"/>
      <c r="J60" s="67">
        <f>IF(B60="","",(E60="No")+(F60="No")+(G60="No")+(H60="No")+(I60="No"))</f>
        <v/>
      </c>
      <c r="K60" s="68">
        <f>IF(B60="","",IF(J60=0,"Done",IF(C60="High","Fix first",IF(C60="Moderate","Fix next",IF(C60="Low","Later","Set category")))))</f>
        <v/>
      </c>
    </row>
    <row r="61" ht="20" customHeight="1">
      <c r="B61" s="65" t="n"/>
      <c r="C61" s="66" t="n"/>
      <c r="D61" s="66" t="n"/>
      <c r="E61" s="66" t="n"/>
      <c r="F61" s="66" t="n"/>
      <c r="G61" s="66" t="n"/>
      <c r="H61" s="66" t="n"/>
      <c r="I61" s="66" t="n"/>
      <c r="J61" s="67">
        <f>IF(B61="","",(E61="No")+(F61="No")+(G61="No")+(H61="No")+(I61="No"))</f>
        <v/>
      </c>
      <c r="K61" s="68">
        <f>IF(B61="","",IF(J61=0,"Done",IF(C61="High","Fix first",IF(C61="Moderate","Fix next",IF(C61="Low","Later","Set category")))))</f>
        <v/>
      </c>
    </row>
    <row r="62" ht="20" customHeight="1">
      <c r="B62" s="65" t="n"/>
      <c r="C62" s="66" t="n"/>
      <c r="D62" s="66" t="n"/>
      <c r="E62" s="66" t="n"/>
      <c r="F62" s="66" t="n"/>
      <c r="G62" s="66" t="n"/>
      <c r="H62" s="66" t="n"/>
      <c r="I62" s="66" t="n"/>
      <c r="J62" s="67">
        <f>IF(B62="","",(E62="No")+(F62="No")+(G62="No")+(H62="No")+(I62="No"))</f>
        <v/>
      </c>
      <c r="K62" s="68">
        <f>IF(B62="","",IF(J62=0,"Done",IF(C62="High","Fix first",IF(C62="Moderate","Fix next",IF(C62="Low","Later","Set category")))))</f>
        <v/>
      </c>
    </row>
    <row r="63" ht="20" customHeight="1">
      <c r="B63" s="65" t="n"/>
      <c r="C63" s="66" t="n"/>
      <c r="D63" s="66" t="n"/>
      <c r="E63" s="66" t="n"/>
      <c r="F63" s="66" t="n"/>
      <c r="G63" s="66" t="n"/>
      <c r="H63" s="66" t="n"/>
      <c r="I63" s="66" t="n"/>
      <c r="J63" s="67">
        <f>IF(B63="","",(E63="No")+(F63="No")+(G63="No")+(H63="No")+(I63="No"))</f>
        <v/>
      </c>
      <c r="K63" s="68">
        <f>IF(B63="","",IF(J63=0,"Done",IF(C63="High","Fix first",IF(C63="Moderate","Fix next",IF(C63="Low","Later","Set category")))))</f>
        <v/>
      </c>
    </row>
    <row r="64" ht="20" customHeight="1">
      <c r="B64" s="65" t="n"/>
      <c r="C64" s="66" t="n"/>
      <c r="D64" s="66" t="n"/>
      <c r="E64" s="66" t="n"/>
      <c r="F64" s="66" t="n"/>
      <c r="G64" s="66" t="n"/>
      <c r="H64" s="66" t="n"/>
      <c r="I64" s="66" t="n"/>
      <c r="J64" s="67">
        <f>IF(B64="","",(E64="No")+(F64="No")+(G64="No")+(H64="No")+(I64="No"))</f>
        <v/>
      </c>
      <c r="K64" s="68">
        <f>IF(B64="","",IF(J64=0,"Done",IF(C64="High","Fix first",IF(C64="Moderate","Fix next",IF(C64="Low","Later","Set category")))))</f>
        <v/>
      </c>
    </row>
    <row r="65" ht="20" customHeight="1">
      <c r="B65" s="65" t="n"/>
      <c r="C65" s="66" t="n"/>
      <c r="D65" s="66" t="n"/>
      <c r="E65" s="66" t="n"/>
      <c r="F65" s="66" t="n"/>
      <c r="G65" s="66" t="n"/>
      <c r="H65" s="66" t="n"/>
      <c r="I65" s="66" t="n"/>
      <c r="J65" s="67">
        <f>IF(B65="","",(E65="No")+(F65="No")+(G65="No")+(H65="No")+(I65="No"))</f>
        <v/>
      </c>
      <c r="K65" s="68">
        <f>IF(B65="","",IF(J65=0,"Done",IF(C65="High","Fix first",IF(C65="Moderate","Fix next",IF(C65="Low","Later","Set category")))))</f>
        <v/>
      </c>
    </row>
    <row r="66" ht="20" customHeight="1">
      <c r="B66" s="65" t="n"/>
      <c r="C66" s="66" t="n"/>
      <c r="D66" s="66" t="n"/>
      <c r="E66" s="66" t="n"/>
      <c r="F66" s="66" t="n"/>
      <c r="G66" s="66" t="n"/>
      <c r="H66" s="66" t="n"/>
      <c r="I66" s="66" t="n"/>
      <c r="J66" s="67">
        <f>IF(B66="","",(E66="No")+(F66="No")+(G66="No")+(H66="No")+(I66="No"))</f>
        <v/>
      </c>
      <c r="K66" s="68">
        <f>IF(B66="","",IF(J66=0,"Done",IF(C66="High","Fix first",IF(C66="Moderate","Fix next",IF(C66="Low","Later","Set category")))))</f>
        <v/>
      </c>
    </row>
    <row r="67" ht="20" customHeight="1">
      <c r="B67" s="65" t="n"/>
      <c r="C67" s="66" t="n"/>
      <c r="D67" s="66" t="n"/>
      <c r="E67" s="66" t="n"/>
      <c r="F67" s="66" t="n"/>
      <c r="G67" s="66" t="n"/>
      <c r="H67" s="66" t="n"/>
      <c r="I67" s="66" t="n"/>
      <c r="J67" s="67">
        <f>IF(B67="","",(E67="No")+(F67="No")+(G67="No")+(H67="No")+(I67="No"))</f>
        <v/>
      </c>
      <c r="K67" s="68">
        <f>IF(B67="","",IF(J67=0,"Done",IF(C67="High","Fix first",IF(C67="Moderate","Fix next",IF(C67="Low","Later","Set category")))))</f>
        <v/>
      </c>
    </row>
    <row r="68" ht="20" customHeight="1">
      <c r="B68" s="65" t="n"/>
      <c r="C68" s="66" t="n"/>
      <c r="D68" s="66" t="n"/>
      <c r="E68" s="66" t="n"/>
      <c r="F68" s="66" t="n"/>
      <c r="G68" s="66" t="n"/>
      <c r="H68" s="66" t="n"/>
      <c r="I68" s="66" t="n"/>
      <c r="J68" s="67">
        <f>IF(B68="","",(E68="No")+(F68="No")+(G68="No")+(H68="No")+(I68="No"))</f>
        <v/>
      </c>
      <c r="K68" s="68">
        <f>IF(B68="","",IF(J68=0,"Done",IF(C68="High","Fix first",IF(C68="Moderate","Fix next",IF(C68="Low","Later","Set category")))))</f>
        <v/>
      </c>
    </row>
    <row r="69" ht="20" customHeight="1">
      <c r="B69" s="65" t="n"/>
      <c r="C69" s="66" t="n"/>
      <c r="D69" s="66" t="n"/>
      <c r="E69" s="66" t="n"/>
      <c r="F69" s="66" t="n"/>
      <c r="G69" s="66" t="n"/>
      <c r="H69" s="66" t="n"/>
      <c r="I69" s="66" t="n"/>
      <c r="J69" s="67">
        <f>IF(B69="","",(E69="No")+(F69="No")+(G69="No")+(H69="No")+(I69="No"))</f>
        <v/>
      </c>
      <c r="K69" s="68">
        <f>IF(B69="","",IF(J69=0,"Done",IF(C69="High","Fix first",IF(C69="Moderate","Fix next",IF(C69="Low","Later","Set category")))))</f>
        <v/>
      </c>
    </row>
    <row r="70" ht="20" customHeight="1">
      <c r="B70" s="65" t="n"/>
      <c r="C70" s="66" t="n"/>
      <c r="D70" s="66" t="n"/>
      <c r="E70" s="66" t="n"/>
      <c r="F70" s="66" t="n"/>
      <c r="G70" s="66" t="n"/>
      <c r="H70" s="66" t="n"/>
      <c r="I70" s="66" t="n"/>
      <c r="J70" s="67">
        <f>IF(B70="","",(E70="No")+(F70="No")+(G70="No")+(H70="No")+(I70="No"))</f>
        <v/>
      </c>
      <c r="K70" s="68">
        <f>IF(B70="","",IF(J70=0,"Done",IF(C70="High","Fix first",IF(C70="Moderate","Fix next",IF(C70="Low","Later","Set category")))))</f>
        <v/>
      </c>
    </row>
    <row r="71" ht="20" customHeight="1">
      <c r="B71" s="65" t="n"/>
      <c r="C71" s="66" t="n"/>
      <c r="D71" s="66" t="n"/>
      <c r="E71" s="66" t="n"/>
      <c r="F71" s="66" t="n"/>
      <c r="G71" s="66" t="n"/>
      <c r="H71" s="66" t="n"/>
      <c r="I71" s="66" t="n"/>
      <c r="J71" s="67">
        <f>IF(B71="","",(E71="No")+(F71="No")+(G71="No")+(H71="No")+(I71="No"))</f>
        <v/>
      </c>
      <c r="K71" s="68">
        <f>IF(B71="","",IF(J71=0,"Done",IF(C71="High","Fix first",IF(C71="Moderate","Fix next",IF(C71="Low","Later","Set category")))))</f>
        <v/>
      </c>
    </row>
    <row r="72" ht="20" customHeight="1">
      <c r="B72" s="65" t="n"/>
      <c r="C72" s="66" t="n"/>
      <c r="D72" s="66" t="n"/>
      <c r="E72" s="66" t="n"/>
      <c r="F72" s="66" t="n"/>
      <c r="G72" s="66" t="n"/>
      <c r="H72" s="66" t="n"/>
      <c r="I72" s="66" t="n"/>
      <c r="J72" s="67">
        <f>IF(B72="","",(E72="No")+(F72="No")+(G72="No")+(H72="No")+(I72="No"))</f>
        <v/>
      </c>
      <c r="K72" s="68">
        <f>IF(B72="","",IF(J72=0,"Done",IF(C72="High","Fix first",IF(C72="Moderate","Fix next",IF(C72="Low","Later","Set category")))))</f>
        <v/>
      </c>
    </row>
    <row r="73" ht="20" customHeight="1">
      <c r="B73" s="65" t="n"/>
      <c r="C73" s="66" t="n"/>
      <c r="D73" s="66" t="n"/>
      <c r="E73" s="66" t="n"/>
      <c r="F73" s="66" t="n"/>
      <c r="G73" s="66" t="n"/>
      <c r="H73" s="66" t="n"/>
      <c r="I73" s="66" t="n"/>
      <c r="J73" s="67">
        <f>IF(B73="","",(E73="No")+(F73="No")+(G73="No")+(H73="No")+(I73="No"))</f>
        <v/>
      </c>
      <c r="K73" s="68">
        <f>IF(B73="","",IF(J73=0,"Done",IF(C73="High","Fix first",IF(C73="Moderate","Fix next",IF(C73="Low","Later","Set category")))))</f>
        <v/>
      </c>
    </row>
    <row r="74" ht="20" customHeight="1">
      <c r="B74" s="65" t="n"/>
      <c r="C74" s="66" t="n"/>
      <c r="D74" s="66" t="n"/>
      <c r="E74" s="66" t="n"/>
      <c r="F74" s="66" t="n"/>
      <c r="G74" s="66" t="n"/>
      <c r="H74" s="66" t="n"/>
      <c r="I74" s="66" t="n"/>
      <c r="J74" s="67">
        <f>IF(B74="","",(E74="No")+(F74="No")+(G74="No")+(H74="No")+(I74="No"))</f>
        <v/>
      </c>
      <c r="K74" s="68">
        <f>IF(B74="","",IF(J74=0,"Done",IF(C74="High","Fix first",IF(C74="Moderate","Fix next",IF(C74="Low","Later","Set category")))))</f>
        <v/>
      </c>
    </row>
    <row r="75" ht="20" customHeight="1">
      <c r="B75" s="65" t="n"/>
      <c r="C75" s="66" t="n"/>
      <c r="D75" s="66" t="n"/>
      <c r="E75" s="66" t="n"/>
      <c r="F75" s="66" t="n"/>
      <c r="G75" s="66" t="n"/>
      <c r="H75" s="66" t="n"/>
      <c r="I75" s="66" t="n"/>
      <c r="J75" s="67">
        <f>IF(B75="","",(E75="No")+(F75="No")+(G75="No")+(H75="No")+(I75="No"))</f>
        <v/>
      </c>
      <c r="K75" s="68">
        <f>IF(B75="","",IF(J75=0,"Done",IF(C75="High","Fix first",IF(C75="Moderate","Fix next",IF(C75="Low","Later","Set category")))))</f>
        <v/>
      </c>
    </row>
    <row r="76" ht="20" customHeight="1">
      <c r="B76" s="65" t="n"/>
      <c r="C76" s="66" t="n"/>
      <c r="D76" s="66" t="n"/>
      <c r="E76" s="66" t="n"/>
      <c r="F76" s="66" t="n"/>
      <c r="G76" s="66" t="n"/>
      <c r="H76" s="66" t="n"/>
      <c r="I76" s="66" t="n"/>
      <c r="J76" s="67">
        <f>IF(B76="","",(E76="No")+(F76="No")+(G76="No")+(H76="No")+(I76="No"))</f>
        <v/>
      </c>
      <c r="K76" s="68">
        <f>IF(B76="","",IF(J76=0,"Done",IF(C76="High","Fix first",IF(C76="Moderate","Fix next",IF(C76="Low","Later","Set category")))))</f>
        <v/>
      </c>
    </row>
    <row r="77" ht="20" customHeight="1">
      <c r="B77" s="65" t="n"/>
      <c r="C77" s="66" t="n"/>
      <c r="D77" s="66" t="n"/>
      <c r="E77" s="66" t="n"/>
      <c r="F77" s="66" t="n"/>
      <c r="G77" s="66" t="n"/>
      <c r="H77" s="66" t="n"/>
      <c r="I77" s="66" t="n"/>
      <c r="J77" s="67">
        <f>IF(B77="","",(E77="No")+(F77="No")+(G77="No")+(H77="No")+(I77="No"))</f>
        <v/>
      </c>
      <c r="K77" s="68">
        <f>IF(B77="","",IF(J77=0,"Done",IF(C77="High","Fix first",IF(C77="Moderate","Fix next",IF(C77="Low","Later","Set category")))))</f>
        <v/>
      </c>
    </row>
    <row r="78" ht="20" customHeight="1">
      <c r="B78" s="65" t="n"/>
      <c r="C78" s="66" t="n"/>
      <c r="D78" s="66" t="n"/>
      <c r="E78" s="66" t="n"/>
      <c r="F78" s="66" t="n"/>
      <c r="G78" s="66" t="n"/>
      <c r="H78" s="66" t="n"/>
      <c r="I78" s="66" t="n"/>
      <c r="J78" s="67">
        <f>IF(B78="","",(E78="No")+(F78="No")+(G78="No")+(H78="No")+(I78="No"))</f>
        <v/>
      </c>
      <c r="K78" s="68">
        <f>IF(B78="","",IF(J78=0,"Done",IF(C78="High","Fix first",IF(C78="Moderate","Fix next",IF(C78="Low","Later","Set category")))))</f>
        <v/>
      </c>
    </row>
    <row r="79" ht="20" customHeight="1">
      <c r="B79" s="65" t="n"/>
      <c r="C79" s="66" t="n"/>
      <c r="D79" s="66" t="n"/>
      <c r="E79" s="66" t="n"/>
      <c r="F79" s="66" t="n"/>
      <c r="G79" s="66" t="n"/>
      <c r="H79" s="66" t="n"/>
      <c r="I79" s="66" t="n"/>
      <c r="J79" s="67">
        <f>IF(B79="","",(E79="No")+(F79="No")+(G79="No")+(H79="No")+(I79="No"))</f>
        <v/>
      </c>
      <c r="K79" s="68">
        <f>IF(B79="","",IF(J79=0,"Done",IF(C79="High","Fix first",IF(C79="Moderate","Fix next",IF(C79="Low","Later","Set category")))))</f>
        <v/>
      </c>
    </row>
    <row r="80" ht="20" customHeight="1">
      <c r="B80" s="65" t="n"/>
      <c r="C80" s="66" t="n"/>
      <c r="D80" s="66" t="n"/>
      <c r="E80" s="66" t="n"/>
      <c r="F80" s="66" t="n"/>
      <c r="G80" s="66" t="n"/>
      <c r="H80" s="66" t="n"/>
      <c r="I80" s="66" t="n"/>
      <c r="J80" s="67">
        <f>IF(B80="","",(E80="No")+(F80="No")+(G80="No")+(H80="No")+(I80="No"))</f>
        <v/>
      </c>
      <c r="K80" s="68">
        <f>IF(B80="","",IF(J80=0,"Done",IF(C80="High","Fix first",IF(C80="Moderate","Fix next",IF(C80="Low","Later","Set category")))))</f>
        <v/>
      </c>
    </row>
    <row r="81" ht="20" customHeight="1">
      <c r="B81" s="65" t="n"/>
      <c r="C81" s="66" t="n"/>
      <c r="D81" s="66" t="n"/>
      <c r="E81" s="66" t="n"/>
      <c r="F81" s="66" t="n"/>
      <c r="G81" s="66" t="n"/>
      <c r="H81" s="66" t="n"/>
      <c r="I81" s="66" t="n"/>
      <c r="J81" s="67">
        <f>IF(B81="","",(E81="No")+(F81="No")+(G81="No")+(H81="No")+(I81="No"))</f>
        <v/>
      </c>
      <c r="K81" s="68">
        <f>IF(B81="","",IF(J81=0,"Done",IF(C81="High","Fix first",IF(C81="Moderate","Fix next",IF(C81="Low","Later","Set category")))))</f>
        <v/>
      </c>
    </row>
    <row r="82" ht="20" customHeight="1">
      <c r="B82" s="65" t="n"/>
      <c r="C82" s="66" t="n"/>
      <c r="D82" s="66" t="n"/>
      <c r="E82" s="66" t="n"/>
      <c r="F82" s="66" t="n"/>
      <c r="G82" s="66" t="n"/>
      <c r="H82" s="66" t="n"/>
      <c r="I82" s="66" t="n"/>
      <c r="J82" s="67">
        <f>IF(B82="","",(E82="No")+(F82="No")+(G82="No")+(H82="No")+(I82="No"))</f>
        <v/>
      </c>
      <c r="K82" s="68">
        <f>IF(B82="","",IF(J82=0,"Done",IF(C82="High","Fix first",IF(C82="Moderate","Fix next",IF(C82="Low","Later","Set category")))))</f>
        <v/>
      </c>
    </row>
    <row r="83" ht="20" customHeight="1">
      <c r="B83" s="65" t="n"/>
      <c r="C83" s="66" t="n"/>
      <c r="D83" s="66" t="n"/>
      <c r="E83" s="66" t="n"/>
      <c r="F83" s="66" t="n"/>
      <c r="G83" s="66" t="n"/>
      <c r="H83" s="66" t="n"/>
      <c r="I83" s="66" t="n"/>
      <c r="J83" s="67">
        <f>IF(B83="","",(E83="No")+(F83="No")+(G83="No")+(H83="No")+(I83="No"))</f>
        <v/>
      </c>
      <c r="K83" s="68">
        <f>IF(B83="","",IF(J83=0,"Done",IF(C83="High","Fix first",IF(C83="Moderate","Fix next",IF(C83="Low","Later","Set category")))))</f>
        <v/>
      </c>
    </row>
    <row r="84" ht="20" customHeight="1">
      <c r="B84" s="65" t="n"/>
      <c r="C84" s="66" t="n"/>
      <c r="D84" s="66" t="n"/>
      <c r="E84" s="66" t="n"/>
      <c r="F84" s="66" t="n"/>
      <c r="G84" s="66" t="n"/>
      <c r="H84" s="66" t="n"/>
      <c r="I84" s="66" t="n"/>
      <c r="J84" s="67">
        <f>IF(B84="","",(E84="No")+(F84="No")+(G84="No")+(H84="No")+(I84="No"))</f>
        <v/>
      </c>
      <c r="K84" s="68">
        <f>IF(B84="","",IF(J84=0,"Done",IF(C84="High","Fix first",IF(C84="Moderate","Fix next",IF(C84="Low","Later","Set category")))))</f>
        <v/>
      </c>
    </row>
    <row r="85" ht="20" customHeight="1">
      <c r="B85" s="65" t="n"/>
      <c r="C85" s="66" t="n"/>
      <c r="D85" s="66" t="n"/>
      <c r="E85" s="66" t="n"/>
      <c r="F85" s="66" t="n"/>
      <c r="G85" s="66" t="n"/>
      <c r="H85" s="66" t="n"/>
      <c r="I85" s="66" t="n"/>
      <c r="J85" s="67">
        <f>IF(B85="","",(E85="No")+(F85="No")+(G85="No")+(H85="No")+(I85="No"))</f>
        <v/>
      </c>
      <c r="K85" s="68">
        <f>IF(B85="","",IF(J85=0,"Done",IF(C85="High","Fix first",IF(C85="Moderate","Fix next",IF(C85="Low","Later","Set category")))))</f>
        <v/>
      </c>
    </row>
    <row r="86" ht="20" customHeight="1">
      <c r="B86" s="65" t="n"/>
      <c r="C86" s="66" t="n"/>
      <c r="D86" s="66" t="n"/>
      <c r="E86" s="66" t="n"/>
      <c r="F86" s="66" t="n"/>
      <c r="G86" s="66" t="n"/>
      <c r="H86" s="66" t="n"/>
      <c r="I86" s="66" t="n"/>
      <c r="J86" s="67">
        <f>IF(B86="","",(E86="No")+(F86="No")+(G86="No")+(H86="No")+(I86="No"))</f>
        <v/>
      </c>
      <c r="K86" s="68">
        <f>IF(B86="","",IF(J86=0,"Done",IF(C86="High","Fix first",IF(C86="Moderate","Fix next",IF(C86="Low","Later","Set category")))))</f>
        <v/>
      </c>
    </row>
    <row r="87" ht="20" customHeight="1">
      <c r="B87" s="65" t="n"/>
      <c r="C87" s="66" t="n"/>
      <c r="D87" s="66" t="n"/>
      <c r="E87" s="66" t="n"/>
      <c r="F87" s="66" t="n"/>
      <c r="G87" s="66" t="n"/>
      <c r="H87" s="66" t="n"/>
      <c r="I87" s="66" t="n"/>
      <c r="J87" s="67">
        <f>IF(B87="","",(E87="No")+(F87="No")+(G87="No")+(H87="No")+(I87="No"))</f>
        <v/>
      </c>
      <c r="K87" s="68">
        <f>IF(B87="","",IF(J87=0,"Done",IF(C87="High","Fix first",IF(C87="Moderate","Fix next",IF(C87="Low","Later","Set category")))))</f>
        <v/>
      </c>
    </row>
    <row r="88" ht="20" customHeight="1">
      <c r="B88" s="65" t="n"/>
      <c r="C88" s="66" t="n"/>
      <c r="D88" s="66" t="n"/>
      <c r="E88" s="66" t="n"/>
      <c r="F88" s="66" t="n"/>
      <c r="G88" s="66" t="n"/>
      <c r="H88" s="66" t="n"/>
      <c r="I88" s="66" t="n"/>
      <c r="J88" s="67">
        <f>IF(B88="","",(E88="No")+(F88="No")+(G88="No")+(H88="No")+(I88="No"))</f>
        <v/>
      </c>
      <c r="K88" s="68">
        <f>IF(B88="","",IF(J88=0,"Done",IF(C88="High","Fix first",IF(C88="Moderate","Fix next",IF(C88="Low","Later","Set category")))))</f>
        <v/>
      </c>
    </row>
    <row r="89" ht="20" customHeight="1">
      <c r="B89" s="65" t="n"/>
      <c r="C89" s="66" t="n"/>
      <c r="D89" s="66" t="n"/>
      <c r="E89" s="66" t="n"/>
      <c r="F89" s="66" t="n"/>
      <c r="G89" s="66" t="n"/>
      <c r="H89" s="66" t="n"/>
      <c r="I89" s="66" t="n"/>
      <c r="J89" s="67">
        <f>IF(B89="","",(E89="No")+(F89="No")+(G89="No")+(H89="No")+(I89="No"))</f>
        <v/>
      </c>
      <c r="K89" s="68">
        <f>IF(B89="","",IF(J89=0,"Done",IF(C89="High","Fix first",IF(C89="Moderate","Fix next",IF(C89="Low","Later","Set category")))))</f>
        <v/>
      </c>
    </row>
    <row r="90" ht="20" customHeight="1">
      <c r="B90" s="65" t="n"/>
      <c r="C90" s="66" t="n"/>
      <c r="D90" s="66" t="n"/>
      <c r="E90" s="66" t="n"/>
      <c r="F90" s="66" t="n"/>
      <c r="G90" s="66" t="n"/>
      <c r="H90" s="66" t="n"/>
      <c r="I90" s="66" t="n"/>
      <c r="J90" s="67">
        <f>IF(B90="","",(E90="No")+(F90="No")+(G90="No")+(H90="No")+(I90="No"))</f>
        <v/>
      </c>
      <c r="K90" s="68">
        <f>IF(B90="","",IF(J90=0,"Done",IF(C90="High","Fix first",IF(C90="Moderate","Fix next",IF(C90="Low","Later","Set category")))))</f>
        <v/>
      </c>
    </row>
    <row r="91" ht="20" customHeight="1">
      <c r="B91" s="65" t="n"/>
      <c r="C91" s="66" t="n"/>
      <c r="D91" s="66" t="n"/>
      <c r="E91" s="66" t="n"/>
      <c r="F91" s="66" t="n"/>
      <c r="G91" s="66" t="n"/>
      <c r="H91" s="66" t="n"/>
      <c r="I91" s="66" t="n"/>
      <c r="J91" s="67">
        <f>IF(B91="","",(E91="No")+(F91="No")+(G91="No")+(H91="No")+(I91="No"))</f>
        <v/>
      </c>
      <c r="K91" s="68">
        <f>IF(B91="","",IF(J91=0,"Done",IF(C91="High","Fix first",IF(C91="Moderate","Fix next",IF(C91="Low","Later","Set category")))))</f>
        <v/>
      </c>
    </row>
    <row r="92" ht="20" customHeight="1">
      <c r="B92" s="65" t="n"/>
      <c r="C92" s="66" t="n"/>
      <c r="D92" s="66" t="n"/>
      <c r="E92" s="66" t="n"/>
      <c r="F92" s="66" t="n"/>
      <c r="G92" s="66" t="n"/>
      <c r="H92" s="66" t="n"/>
      <c r="I92" s="66" t="n"/>
      <c r="J92" s="67">
        <f>IF(B92="","",(E92="No")+(F92="No")+(G92="No")+(H92="No")+(I92="No"))</f>
        <v/>
      </c>
      <c r="K92" s="68">
        <f>IF(B92="","",IF(J92=0,"Done",IF(C92="High","Fix first",IF(C92="Moderate","Fix next",IF(C92="Low","Later","Set category")))))</f>
        <v/>
      </c>
    </row>
    <row r="93" ht="20" customHeight="1">
      <c r="B93" s="65" t="n"/>
      <c r="C93" s="66" t="n"/>
      <c r="D93" s="66" t="n"/>
      <c r="E93" s="66" t="n"/>
      <c r="F93" s="66" t="n"/>
      <c r="G93" s="66" t="n"/>
      <c r="H93" s="66" t="n"/>
      <c r="I93" s="66" t="n"/>
      <c r="J93" s="67">
        <f>IF(B93="","",(E93="No")+(F93="No")+(G93="No")+(H93="No")+(I93="No"))</f>
        <v/>
      </c>
      <c r="K93" s="68">
        <f>IF(B93="","",IF(J93=0,"Done",IF(C93="High","Fix first",IF(C93="Moderate","Fix next",IF(C93="Low","Later","Set category")))))</f>
        <v/>
      </c>
    </row>
    <row r="94" ht="20" customHeight="1">
      <c r="B94" s="65" t="n"/>
      <c r="C94" s="66" t="n"/>
      <c r="D94" s="66" t="n"/>
      <c r="E94" s="66" t="n"/>
      <c r="F94" s="66" t="n"/>
      <c r="G94" s="66" t="n"/>
      <c r="H94" s="66" t="n"/>
      <c r="I94" s="66" t="n"/>
      <c r="J94" s="67">
        <f>IF(B94="","",(E94="No")+(F94="No")+(G94="No")+(H94="No")+(I94="No"))</f>
        <v/>
      </c>
      <c r="K94" s="68">
        <f>IF(B94="","",IF(J94=0,"Done",IF(C94="High","Fix first",IF(C94="Moderate","Fix next",IF(C94="Low","Later","Set category")))))</f>
        <v/>
      </c>
    </row>
    <row r="95" ht="20" customHeight="1">
      <c r="B95" s="65" t="n"/>
      <c r="C95" s="66" t="n"/>
      <c r="D95" s="66" t="n"/>
      <c r="E95" s="66" t="n"/>
      <c r="F95" s="66" t="n"/>
      <c r="G95" s="66" t="n"/>
      <c r="H95" s="66" t="n"/>
      <c r="I95" s="66" t="n"/>
      <c r="J95" s="67">
        <f>IF(B95="","",(E95="No")+(F95="No")+(G95="No")+(H95="No")+(I95="No"))</f>
        <v/>
      </c>
      <c r="K95" s="68">
        <f>IF(B95="","",IF(J95=0,"Done",IF(C95="High","Fix first",IF(C95="Moderate","Fix next",IF(C95="Low","Later","Set category")))))</f>
        <v/>
      </c>
    </row>
    <row r="96" ht="20" customHeight="1">
      <c r="B96" s="65" t="n"/>
      <c r="C96" s="66" t="n"/>
      <c r="D96" s="66" t="n"/>
      <c r="E96" s="66" t="n"/>
      <c r="F96" s="66" t="n"/>
      <c r="G96" s="66" t="n"/>
      <c r="H96" s="66" t="n"/>
      <c r="I96" s="66" t="n"/>
      <c r="J96" s="67">
        <f>IF(B96="","",(E96="No")+(F96="No")+(G96="No")+(H96="No")+(I96="No"))</f>
        <v/>
      </c>
      <c r="K96" s="68">
        <f>IF(B96="","",IF(J96=0,"Done",IF(C96="High","Fix first",IF(C96="Moderate","Fix next",IF(C96="Low","Later","Set category")))))</f>
        <v/>
      </c>
    </row>
    <row r="97" ht="20" customHeight="1">
      <c r="B97" s="65" t="n"/>
      <c r="C97" s="66" t="n"/>
      <c r="D97" s="66" t="n"/>
      <c r="E97" s="66" t="n"/>
      <c r="F97" s="66" t="n"/>
      <c r="G97" s="66" t="n"/>
      <c r="H97" s="66" t="n"/>
      <c r="I97" s="66" t="n"/>
      <c r="J97" s="67">
        <f>IF(B97="","",(E97="No")+(F97="No")+(G97="No")+(H97="No")+(I97="No"))</f>
        <v/>
      </c>
      <c r="K97" s="68">
        <f>IF(B97="","",IF(J97=0,"Done",IF(C97="High","Fix first",IF(C97="Moderate","Fix next",IF(C97="Low","Later","Set category")))))</f>
        <v/>
      </c>
    </row>
    <row r="98" ht="20" customHeight="1">
      <c r="B98" s="65" t="n"/>
      <c r="C98" s="66" t="n"/>
      <c r="D98" s="66" t="n"/>
      <c r="E98" s="66" t="n"/>
      <c r="F98" s="66" t="n"/>
      <c r="G98" s="66" t="n"/>
      <c r="H98" s="66" t="n"/>
      <c r="I98" s="66" t="n"/>
      <c r="J98" s="67">
        <f>IF(B98="","",(E98="No")+(F98="No")+(G98="No")+(H98="No")+(I98="No"))</f>
        <v/>
      </c>
      <c r="K98" s="68">
        <f>IF(B98="","",IF(J98=0,"Done",IF(C98="High","Fix first",IF(C98="Moderate","Fix next",IF(C98="Low","Later","Set category")))))</f>
        <v/>
      </c>
    </row>
    <row r="99" ht="20" customHeight="1">
      <c r="B99" s="65" t="n"/>
      <c r="C99" s="66" t="n"/>
      <c r="D99" s="66" t="n"/>
      <c r="E99" s="66" t="n"/>
      <c r="F99" s="66" t="n"/>
      <c r="G99" s="66" t="n"/>
      <c r="H99" s="66" t="n"/>
      <c r="I99" s="66" t="n"/>
      <c r="J99" s="67">
        <f>IF(B99="","",(E99="No")+(F99="No")+(G99="No")+(H99="No")+(I99="No"))</f>
        <v/>
      </c>
      <c r="K99" s="68">
        <f>IF(B99="","",IF(J99=0,"Done",IF(C99="High","Fix first",IF(C99="Moderate","Fix next",IF(C99="Low","Later","Set category")))))</f>
        <v/>
      </c>
    </row>
    <row r="100" ht="20" customHeight="1">
      <c r="B100" s="65" t="n"/>
      <c r="C100" s="66" t="n"/>
      <c r="D100" s="66" t="n"/>
      <c r="E100" s="66" t="n"/>
      <c r="F100" s="66" t="n"/>
      <c r="G100" s="66" t="n"/>
      <c r="H100" s="66" t="n"/>
      <c r="I100" s="66" t="n"/>
      <c r="J100" s="67">
        <f>IF(B100="","",(E100="No")+(F100="No")+(G100="No")+(H100="No")+(I100="No"))</f>
        <v/>
      </c>
      <c r="K100" s="68">
        <f>IF(B100="","",IF(J100=0,"Done",IF(C100="High","Fix first",IF(C100="Moderate","Fix next",IF(C100="Low","Later","Set category")))))</f>
        <v/>
      </c>
    </row>
    <row r="101" ht="20" customHeight="1">
      <c r="B101" s="65" t="n"/>
      <c r="C101" s="66" t="n"/>
      <c r="D101" s="66" t="n"/>
      <c r="E101" s="66" t="n"/>
      <c r="F101" s="66" t="n"/>
      <c r="G101" s="66" t="n"/>
      <c r="H101" s="66" t="n"/>
      <c r="I101" s="66" t="n"/>
      <c r="J101" s="67">
        <f>IF(B101="","",(E101="No")+(F101="No")+(G101="No")+(H101="No")+(I101="No"))</f>
        <v/>
      </c>
      <c r="K101" s="68">
        <f>IF(B101="","",IF(J101=0,"Done",IF(C101="High","Fix first",IF(C101="Moderate","Fix next",IF(C101="Low","Later","Set category")))))</f>
        <v/>
      </c>
    </row>
    <row r="102" ht="20" customHeight="1">
      <c r="B102" s="65" t="n"/>
      <c r="C102" s="66" t="n"/>
      <c r="D102" s="66" t="n"/>
      <c r="E102" s="66" t="n"/>
      <c r="F102" s="66" t="n"/>
      <c r="G102" s="66" t="n"/>
      <c r="H102" s="66" t="n"/>
      <c r="I102" s="66" t="n"/>
      <c r="J102" s="67">
        <f>IF(B102="","",(E102="No")+(F102="No")+(G102="No")+(H102="No")+(I102="No"))</f>
        <v/>
      </c>
      <c r="K102" s="68">
        <f>IF(B102="","",IF(J102=0,"Done",IF(C102="High","Fix first",IF(C102="Moderate","Fix next",IF(C102="Low","Later","Set category")))))</f>
        <v/>
      </c>
    </row>
    <row r="103" ht="20" customHeight="1">
      <c r="B103" s="65" t="n"/>
      <c r="C103" s="66" t="n"/>
      <c r="D103" s="66" t="n"/>
      <c r="E103" s="66" t="n"/>
      <c r="F103" s="66" t="n"/>
      <c r="G103" s="66" t="n"/>
      <c r="H103" s="66" t="n"/>
      <c r="I103" s="66" t="n"/>
      <c r="J103" s="67">
        <f>IF(B103="","",(E103="No")+(F103="No")+(G103="No")+(H103="No")+(I103="No"))</f>
        <v/>
      </c>
      <c r="K103" s="68">
        <f>IF(B103="","",IF(J103=0,"Done",IF(C103="High","Fix first",IF(C103="Moderate","Fix next",IF(C103="Low","Later","Set category")))))</f>
        <v/>
      </c>
    </row>
    <row r="104" ht="20" customHeight="1">
      <c r="B104" s="65" t="n"/>
      <c r="C104" s="66" t="n"/>
      <c r="D104" s="66" t="n"/>
      <c r="E104" s="66" t="n"/>
      <c r="F104" s="66" t="n"/>
      <c r="G104" s="66" t="n"/>
      <c r="H104" s="66" t="n"/>
      <c r="I104" s="66" t="n"/>
      <c r="J104" s="67">
        <f>IF(B104="","",(E104="No")+(F104="No")+(G104="No")+(H104="No")+(I104="No"))</f>
        <v/>
      </c>
      <c r="K104" s="68">
        <f>IF(B104="","",IF(J104=0,"Done",IF(C104="High","Fix first",IF(C104="Moderate","Fix next",IF(C104="Low","Later","Set category")))))</f>
        <v/>
      </c>
    </row>
    <row r="105" ht="20" customHeight="1">
      <c r="B105" s="65" t="n"/>
      <c r="C105" s="66" t="n"/>
      <c r="D105" s="66" t="n"/>
      <c r="E105" s="66" t="n"/>
      <c r="F105" s="66" t="n"/>
      <c r="G105" s="66" t="n"/>
      <c r="H105" s="66" t="n"/>
      <c r="I105" s="66" t="n"/>
      <c r="J105" s="67">
        <f>IF(B105="","",(E105="No")+(F105="No")+(G105="No")+(H105="No")+(I105="No"))</f>
        <v/>
      </c>
      <c r="K105" s="68">
        <f>IF(B105="","",IF(J105=0,"Done",IF(C105="High","Fix first",IF(C105="Moderate","Fix next",IF(C105="Low","Later","Set category")))))</f>
        <v/>
      </c>
    </row>
    <row r="106" ht="20" customHeight="1">
      <c r="B106" s="65" t="n"/>
      <c r="C106" s="66" t="n"/>
      <c r="D106" s="66" t="n"/>
      <c r="E106" s="66" t="n"/>
      <c r="F106" s="66" t="n"/>
      <c r="G106" s="66" t="n"/>
      <c r="H106" s="66" t="n"/>
      <c r="I106" s="66" t="n"/>
      <c r="J106" s="67">
        <f>IF(B106="","",(E106="No")+(F106="No")+(G106="No")+(H106="No")+(I106="No"))</f>
        <v/>
      </c>
      <c r="K106" s="68">
        <f>IF(B106="","",IF(J106=0,"Done",IF(C106="High","Fix first",IF(C106="Moderate","Fix next",IF(C106="Low","Later","Set category")))))</f>
        <v/>
      </c>
    </row>
    <row r="107" ht="20" customHeight="1">
      <c r="B107" s="65" t="n"/>
      <c r="C107" s="66" t="n"/>
      <c r="D107" s="66" t="n"/>
      <c r="E107" s="66" t="n"/>
      <c r="F107" s="66" t="n"/>
      <c r="G107" s="66" t="n"/>
      <c r="H107" s="66" t="n"/>
      <c r="I107" s="66" t="n"/>
      <c r="J107" s="67">
        <f>IF(B107="","",(E107="No")+(F107="No")+(G107="No")+(H107="No")+(I107="No"))</f>
        <v/>
      </c>
      <c r="K107" s="68">
        <f>IF(B107="","",IF(J107=0,"Done",IF(C107="High","Fix first",IF(C107="Moderate","Fix next",IF(C107="Low","Later","Set category")))))</f>
        <v/>
      </c>
    </row>
    <row r="108" ht="20" customHeight="1">
      <c r="B108" s="65" t="n"/>
      <c r="C108" s="66" t="n"/>
      <c r="D108" s="66" t="n"/>
      <c r="E108" s="66" t="n"/>
      <c r="F108" s="66" t="n"/>
      <c r="G108" s="66" t="n"/>
      <c r="H108" s="66" t="n"/>
      <c r="I108" s="66" t="n"/>
      <c r="J108" s="67">
        <f>IF(B108="","",(E108="No")+(F108="No")+(G108="No")+(H108="No")+(I108="No"))</f>
        <v/>
      </c>
      <c r="K108" s="68">
        <f>IF(B108="","",IF(J108=0,"Done",IF(C108="High","Fix first",IF(C108="Moderate","Fix next",IF(C108="Low","Later","Set category")))))</f>
        <v/>
      </c>
    </row>
    <row r="109" ht="20" customHeight="1">
      <c r="B109" s="65" t="n"/>
      <c r="C109" s="66" t="n"/>
      <c r="D109" s="66" t="n"/>
      <c r="E109" s="66" t="n"/>
      <c r="F109" s="66" t="n"/>
      <c r="G109" s="66" t="n"/>
      <c r="H109" s="66" t="n"/>
      <c r="I109" s="66" t="n"/>
      <c r="J109" s="67">
        <f>IF(B109="","",(E109="No")+(F109="No")+(G109="No")+(H109="No")+(I109="No"))</f>
        <v/>
      </c>
      <c r="K109" s="68">
        <f>IF(B109="","",IF(J109=0,"Done",IF(C109="High","Fix first",IF(C109="Moderate","Fix next",IF(C109="Low","Later","Set category")))))</f>
        <v/>
      </c>
    </row>
    <row r="110" ht="20" customHeight="1">
      <c r="B110" s="65" t="n"/>
      <c r="C110" s="66" t="n"/>
      <c r="D110" s="66" t="n"/>
      <c r="E110" s="66" t="n"/>
      <c r="F110" s="66" t="n"/>
      <c r="G110" s="66" t="n"/>
      <c r="H110" s="66" t="n"/>
      <c r="I110" s="66" t="n"/>
      <c r="J110" s="67">
        <f>IF(B110="","",(E110="No")+(F110="No")+(G110="No")+(H110="No")+(I110="No"))</f>
        <v/>
      </c>
      <c r="K110" s="68">
        <f>IF(B110="","",IF(J110=0,"Done",IF(C110="High","Fix first",IF(C110="Moderate","Fix next",IF(C110="Low","Later","Set category")))))</f>
        <v/>
      </c>
    </row>
    <row r="111" ht="20" customHeight="1">
      <c r="B111" s="65" t="n"/>
      <c r="C111" s="66" t="n"/>
      <c r="D111" s="66" t="n"/>
      <c r="E111" s="66" t="n"/>
      <c r="F111" s="66" t="n"/>
      <c r="G111" s="66" t="n"/>
      <c r="H111" s="66" t="n"/>
      <c r="I111" s="66" t="n"/>
      <c r="J111" s="67">
        <f>IF(B111="","",(E111="No")+(F111="No")+(G111="No")+(H111="No")+(I111="No"))</f>
        <v/>
      </c>
      <c r="K111" s="68">
        <f>IF(B111="","",IF(J111=0,"Done",IF(C111="High","Fix first",IF(C111="Moderate","Fix next",IF(C111="Low","Later","Set category")))))</f>
        <v/>
      </c>
    </row>
    <row r="112" ht="20" customHeight="1">
      <c r="B112" s="65" t="n"/>
      <c r="C112" s="66" t="n"/>
      <c r="D112" s="66" t="n"/>
      <c r="E112" s="66" t="n"/>
      <c r="F112" s="66" t="n"/>
      <c r="G112" s="66" t="n"/>
      <c r="H112" s="66" t="n"/>
      <c r="I112" s="66" t="n"/>
      <c r="J112" s="67">
        <f>IF(B112="","",(E112="No")+(F112="No")+(G112="No")+(H112="No")+(I112="No"))</f>
        <v/>
      </c>
      <c r="K112" s="68">
        <f>IF(B112="","",IF(J112=0,"Done",IF(C112="High","Fix first",IF(C112="Moderate","Fix next",IF(C112="Low","Later","Set category")))))</f>
        <v/>
      </c>
    </row>
    <row r="113" ht="20" customHeight="1">
      <c r="B113" s="65" t="n"/>
      <c r="C113" s="66" t="n"/>
      <c r="D113" s="66" t="n"/>
      <c r="E113" s="66" t="n"/>
      <c r="F113" s="66" t="n"/>
      <c r="G113" s="66" t="n"/>
      <c r="H113" s="66" t="n"/>
      <c r="I113" s="66" t="n"/>
      <c r="J113" s="67">
        <f>IF(B113="","",(E113="No")+(F113="No")+(G113="No")+(H113="No")+(I113="No"))</f>
        <v/>
      </c>
      <c r="K113" s="68">
        <f>IF(B113="","",IF(J113=0,"Done",IF(C113="High","Fix first",IF(C113="Moderate","Fix next",IF(C113="Low","Later","Set category")))))</f>
        <v/>
      </c>
    </row>
    <row r="114" ht="20" customHeight="1">
      <c r="B114" s="65" t="n"/>
      <c r="C114" s="66" t="n"/>
      <c r="D114" s="66" t="n"/>
      <c r="E114" s="66" t="n"/>
      <c r="F114" s="66" t="n"/>
      <c r="G114" s="66" t="n"/>
      <c r="H114" s="66" t="n"/>
      <c r="I114" s="66" t="n"/>
      <c r="J114" s="67">
        <f>IF(B114="","",(E114="No")+(F114="No")+(G114="No")+(H114="No")+(I114="No"))</f>
        <v/>
      </c>
      <c r="K114" s="68">
        <f>IF(B114="","",IF(J114=0,"Done",IF(C114="High","Fix first",IF(C114="Moderate","Fix next",IF(C114="Low","Later","Set category")))))</f>
        <v/>
      </c>
    </row>
    <row r="115" ht="20" customHeight="1">
      <c r="B115" s="65" t="n"/>
      <c r="C115" s="66" t="n"/>
      <c r="D115" s="66" t="n"/>
      <c r="E115" s="66" t="n"/>
      <c r="F115" s="66" t="n"/>
      <c r="G115" s="66" t="n"/>
      <c r="H115" s="66" t="n"/>
      <c r="I115" s="66" t="n"/>
      <c r="J115" s="67">
        <f>IF(B115="","",(E115="No")+(F115="No")+(G115="No")+(H115="No")+(I115="No"))</f>
        <v/>
      </c>
      <c r="K115" s="68">
        <f>IF(B115="","",IF(J115=0,"Done",IF(C115="High","Fix first",IF(C115="Moderate","Fix next",IF(C115="Low","Later","Set category")))))</f>
        <v/>
      </c>
    </row>
    <row r="116" ht="20" customHeight="1">
      <c r="B116" s="65" t="n"/>
      <c r="C116" s="66" t="n"/>
      <c r="D116" s="66" t="n"/>
      <c r="E116" s="66" t="n"/>
      <c r="F116" s="66" t="n"/>
      <c r="G116" s="66" t="n"/>
      <c r="H116" s="66" t="n"/>
      <c r="I116" s="66" t="n"/>
      <c r="J116" s="67">
        <f>IF(B116="","",(E116="No")+(F116="No")+(G116="No")+(H116="No")+(I116="No"))</f>
        <v/>
      </c>
      <c r="K116" s="68">
        <f>IF(B116="","",IF(J116=0,"Done",IF(C116="High","Fix first",IF(C116="Moderate","Fix next",IF(C116="Low","Later","Set category")))))</f>
        <v/>
      </c>
    </row>
    <row r="117" ht="20" customHeight="1">
      <c r="B117" s="65" t="n"/>
      <c r="C117" s="66" t="n"/>
      <c r="D117" s="66" t="n"/>
      <c r="E117" s="66" t="n"/>
      <c r="F117" s="66" t="n"/>
      <c r="G117" s="66" t="n"/>
      <c r="H117" s="66" t="n"/>
      <c r="I117" s="66" t="n"/>
      <c r="J117" s="67">
        <f>IF(B117="","",(E117="No")+(F117="No")+(G117="No")+(H117="No")+(I117="No"))</f>
        <v/>
      </c>
      <c r="K117" s="68">
        <f>IF(B117="","",IF(J117=0,"Done",IF(C117="High","Fix first",IF(C117="Moderate","Fix next",IF(C117="Low","Later","Set category")))))</f>
        <v/>
      </c>
    </row>
    <row r="118" ht="20" customHeight="1">
      <c r="B118" s="65" t="n"/>
      <c r="C118" s="66" t="n"/>
      <c r="D118" s="66" t="n"/>
      <c r="E118" s="66" t="n"/>
      <c r="F118" s="66" t="n"/>
      <c r="G118" s="66" t="n"/>
      <c r="H118" s="66" t="n"/>
      <c r="I118" s="66" t="n"/>
      <c r="J118" s="67">
        <f>IF(B118="","",(E118="No")+(F118="No")+(G118="No")+(H118="No")+(I118="No"))</f>
        <v/>
      </c>
      <c r="K118" s="68">
        <f>IF(B118="","",IF(J118=0,"Done",IF(C118="High","Fix first",IF(C118="Moderate","Fix next",IF(C118="Low","Later","Set category")))))</f>
        <v/>
      </c>
    </row>
    <row r="119" ht="20" customHeight="1">
      <c r="B119" s="65" t="n"/>
      <c r="C119" s="66" t="n"/>
      <c r="D119" s="66" t="n"/>
      <c r="E119" s="66" t="n"/>
      <c r="F119" s="66" t="n"/>
      <c r="G119" s="66" t="n"/>
      <c r="H119" s="66" t="n"/>
      <c r="I119" s="66" t="n"/>
      <c r="J119" s="67">
        <f>IF(B119="","",(E119="No")+(F119="No")+(G119="No")+(H119="No")+(I119="No"))</f>
        <v/>
      </c>
      <c r="K119" s="68">
        <f>IF(B119="","",IF(J119=0,"Done",IF(C119="High","Fix first",IF(C119="Moderate","Fix next",IF(C119="Low","Later","Set category")))))</f>
        <v/>
      </c>
    </row>
    <row r="120" ht="20" customHeight="1">
      <c r="B120" s="65" t="n"/>
      <c r="C120" s="66" t="n"/>
      <c r="D120" s="66" t="n"/>
      <c r="E120" s="66" t="n"/>
      <c r="F120" s="66" t="n"/>
      <c r="G120" s="66" t="n"/>
      <c r="H120" s="66" t="n"/>
      <c r="I120" s="66" t="n"/>
      <c r="J120" s="67">
        <f>IF(B120="","",(E120="No")+(F120="No")+(G120="No")+(H120="No")+(I120="No"))</f>
        <v/>
      </c>
      <c r="K120" s="68">
        <f>IF(B120="","",IF(J120=0,"Done",IF(C120="High","Fix first",IF(C120="Moderate","Fix next",IF(C120="Low","Later","Set category")))))</f>
        <v/>
      </c>
    </row>
    <row r="121" ht="20" customHeight="1">
      <c r="B121" s="65" t="n"/>
      <c r="C121" s="66" t="n"/>
      <c r="D121" s="66" t="n"/>
      <c r="E121" s="66" t="n"/>
      <c r="F121" s="66" t="n"/>
      <c r="G121" s="66" t="n"/>
      <c r="H121" s="66" t="n"/>
      <c r="I121" s="66" t="n"/>
      <c r="J121" s="67">
        <f>IF(B121="","",(E121="No")+(F121="No")+(G121="No")+(H121="No")+(I121="No"))</f>
        <v/>
      </c>
      <c r="K121" s="68">
        <f>IF(B121="","",IF(J121=0,"Done",IF(C121="High","Fix first",IF(C121="Moderate","Fix next",IF(C121="Low","Later","Set category")))))</f>
        <v/>
      </c>
    </row>
    <row r="122" ht="20" customHeight="1">
      <c r="B122" s="65" t="n"/>
      <c r="C122" s="66" t="n"/>
      <c r="D122" s="66" t="n"/>
      <c r="E122" s="66" t="n"/>
      <c r="F122" s="66" t="n"/>
      <c r="G122" s="66" t="n"/>
      <c r="H122" s="66" t="n"/>
      <c r="I122" s="66" t="n"/>
      <c r="J122" s="67">
        <f>IF(B122="","",(E122="No")+(F122="No")+(G122="No")+(H122="No")+(I122="No"))</f>
        <v/>
      </c>
      <c r="K122" s="68">
        <f>IF(B122="","",IF(J122=0,"Done",IF(C122="High","Fix first",IF(C122="Moderate","Fix next",IF(C122="Low","Later","Set category")))))</f>
        <v/>
      </c>
    </row>
    <row r="123" ht="20" customHeight="1">
      <c r="B123" s="65" t="n"/>
      <c r="C123" s="66" t="n"/>
      <c r="D123" s="66" t="n"/>
      <c r="E123" s="66" t="n"/>
      <c r="F123" s="66" t="n"/>
      <c r="G123" s="66" t="n"/>
      <c r="H123" s="66" t="n"/>
      <c r="I123" s="66" t="n"/>
      <c r="J123" s="67">
        <f>IF(B123="","",(E123="No")+(F123="No")+(G123="No")+(H123="No")+(I123="No"))</f>
        <v/>
      </c>
      <c r="K123" s="68">
        <f>IF(B123="","",IF(J123=0,"Done",IF(C123="High","Fix first",IF(C123="Moderate","Fix next",IF(C123="Low","Later","Set category")))))</f>
        <v/>
      </c>
    </row>
    <row r="124" ht="20" customHeight="1">
      <c r="B124" s="65" t="n"/>
      <c r="C124" s="66" t="n"/>
      <c r="D124" s="66" t="n"/>
      <c r="E124" s="66" t="n"/>
      <c r="F124" s="66" t="n"/>
      <c r="G124" s="66" t="n"/>
      <c r="H124" s="66" t="n"/>
      <c r="I124" s="66" t="n"/>
      <c r="J124" s="67">
        <f>IF(B124="","",(E124="No")+(F124="No")+(G124="No")+(H124="No")+(I124="No"))</f>
        <v/>
      </c>
      <c r="K124" s="68">
        <f>IF(B124="","",IF(J124=0,"Done",IF(C124="High","Fix first",IF(C124="Moderate","Fix next",IF(C124="Low","Later","Set category")))))</f>
        <v/>
      </c>
    </row>
    <row r="125" ht="20" customHeight="1">
      <c r="B125" s="65" t="n"/>
      <c r="C125" s="66" t="n"/>
      <c r="D125" s="66" t="n"/>
      <c r="E125" s="66" t="n"/>
      <c r="F125" s="66" t="n"/>
      <c r="G125" s="66" t="n"/>
      <c r="H125" s="66" t="n"/>
      <c r="I125" s="66" t="n"/>
      <c r="J125" s="67">
        <f>IF(B125="","",(E125="No")+(F125="No")+(G125="No")+(H125="No")+(I125="No"))</f>
        <v/>
      </c>
      <c r="K125" s="68">
        <f>IF(B125="","",IF(J125=0,"Done",IF(C125="High","Fix first",IF(C125="Moderate","Fix next",IF(C125="Low","Later","Set category")))))</f>
        <v/>
      </c>
    </row>
    <row r="126" ht="20" customHeight="1">
      <c r="B126" s="65" t="n"/>
      <c r="C126" s="66" t="n"/>
      <c r="D126" s="66" t="n"/>
      <c r="E126" s="66" t="n"/>
      <c r="F126" s="66" t="n"/>
      <c r="G126" s="66" t="n"/>
      <c r="H126" s="66" t="n"/>
      <c r="I126" s="66" t="n"/>
      <c r="J126" s="67">
        <f>IF(B126="","",(E126="No")+(F126="No")+(G126="No")+(H126="No")+(I126="No"))</f>
        <v/>
      </c>
      <c r="K126" s="68">
        <f>IF(B126="","",IF(J126=0,"Done",IF(C126="High","Fix first",IF(C126="Moderate","Fix next",IF(C126="Low","Later","Set category")))))</f>
        <v/>
      </c>
    </row>
    <row r="127" ht="20" customHeight="1">
      <c r="B127" s="65" t="n"/>
      <c r="C127" s="66" t="n"/>
      <c r="D127" s="66" t="n"/>
      <c r="E127" s="66" t="n"/>
      <c r="F127" s="66" t="n"/>
      <c r="G127" s="66" t="n"/>
      <c r="H127" s="66" t="n"/>
      <c r="I127" s="66" t="n"/>
      <c r="J127" s="67">
        <f>IF(B127="","",(E127="No")+(F127="No")+(G127="No")+(H127="No")+(I127="No"))</f>
        <v/>
      </c>
      <c r="K127" s="68">
        <f>IF(B127="","",IF(J127=0,"Done",IF(C127="High","Fix first",IF(C127="Moderate","Fix next",IF(C127="Low","Later","Set category")))))</f>
        <v/>
      </c>
    </row>
    <row r="128" ht="20" customHeight="1">
      <c r="B128" s="65" t="n"/>
      <c r="C128" s="66" t="n"/>
      <c r="D128" s="66" t="n"/>
      <c r="E128" s="66" t="n"/>
      <c r="F128" s="66" t="n"/>
      <c r="G128" s="66" t="n"/>
      <c r="H128" s="66" t="n"/>
      <c r="I128" s="66" t="n"/>
      <c r="J128" s="67">
        <f>IF(B128="","",(E128="No")+(F128="No")+(G128="No")+(H128="No")+(I128="No"))</f>
        <v/>
      </c>
      <c r="K128" s="68">
        <f>IF(B128="","",IF(J128=0,"Done",IF(C128="High","Fix first",IF(C128="Moderate","Fix next",IF(C128="Low","Later","Set category")))))</f>
        <v/>
      </c>
    </row>
    <row r="129" ht="20" customHeight="1">
      <c r="B129" s="65" t="n"/>
      <c r="C129" s="66" t="n"/>
      <c r="D129" s="66" t="n"/>
      <c r="E129" s="66" t="n"/>
      <c r="F129" s="66" t="n"/>
      <c r="G129" s="66" t="n"/>
      <c r="H129" s="66" t="n"/>
      <c r="I129" s="66" t="n"/>
      <c r="J129" s="67">
        <f>IF(B129="","",(E129="No")+(F129="No")+(G129="No")+(H129="No")+(I129="No"))</f>
        <v/>
      </c>
      <c r="K129" s="68">
        <f>IF(B129="","",IF(J129=0,"Done",IF(C129="High","Fix first",IF(C129="Moderate","Fix next",IF(C129="Low","Later","Set category")))))</f>
        <v/>
      </c>
    </row>
    <row r="130" ht="20" customHeight="1">
      <c r="B130" s="65" t="n"/>
      <c r="C130" s="66" t="n"/>
      <c r="D130" s="66" t="n"/>
      <c r="E130" s="66" t="n"/>
      <c r="F130" s="66" t="n"/>
      <c r="G130" s="66" t="n"/>
      <c r="H130" s="66" t="n"/>
      <c r="I130" s="66" t="n"/>
      <c r="J130" s="67">
        <f>IF(B130="","",(E130="No")+(F130="No")+(G130="No")+(H130="No")+(I130="No"))</f>
        <v/>
      </c>
      <c r="K130" s="68">
        <f>IF(B130="","",IF(J130=0,"Done",IF(C130="High","Fix first",IF(C130="Moderate","Fix next",IF(C130="Low","Later","Set category")))))</f>
        <v/>
      </c>
    </row>
    <row r="131" ht="20" customHeight="1">
      <c r="B131" s="65" t="n"/>
      <c r="C131" s="66" t="n"/>
      <c r="D131" s="66" t="n"/>
      <c r="E131" s="66" t="n"/>
      <c r="F131" s="66" t="n"/>
      <c r="G131" s="66" t="n"/>
      <c r="H131" s="66" t="n"/>
      <c r="I131" s="66" t="n"/>
      <c r="J131" s="67">
        <f>IF(B131="","",(E131="No")+(F131="No")+(G131="No")+(H131="No")+(I131="No"))</f>
        <v/>
      </c>
      <c r="K131" s="68">
        <f>IF(B131="","",IF(J131=0,"Done",IF(C131="High","Fix first",IF(C131="Moderate","Fix next",IF(C131="Low","Later","Set category")))))</f>
        <v/>
      </c>
    </row>
    <row r="132" ht="20" customHeight="1">
      <c r="B132" s="65" t="n"/>
      <c r="C132" s="66" t="n"/>
      <c r="D132" s="66" t="n"/>
      <c r="E132" s="66" t="n"/>
      <c r="F132" s="66" t="n"/>
      <c r="G132" s="66" t="n"/>
      <c r="H132" s="66" t="n"/>
      <c r="I132" s="66" t="n"/>
      <c r="J132" s="67">
        <f>IF(B132="","",(E132="No")+(F132="No")+(G132="No")+(H132="No")+(I132="No"))</f>
        <v/>
      </c>
      <c r="K132" s="68">
        <f>IF(B132="","",IF(J132=0,"Done",IF(C132="High","Fix first",IF(C132="Moderate","Fix next",IF(C132="Low","Later","Set category")))))</f>
        <v/>
      </c>
    </row>
    <row r="133" ht="20" customHeight="1">
      <c r="B133" s="65" t="n"/>
      <c r="C133" s="66" t="n"/>
      <c r="D133" s="66" t="n"/>
      <c r="E133" s="66" t="n"/>
      <c r="F133" s="66" t="n"/>
      <c r="G133" s="66" t="n"/>
      <c r="H133" s="66" t="n"/>
      <c r="I133" s="66" t="n"/>
      <c r="J133" s="67">
        <f>IF(B133="","",(E133="No")+(F133="No")+(G133="No")+(H133="No")+(I133="No"))</f>
        <v/>
      </c>
      <c r="K133" s="68">
        <f>IF(B133="","",IF(J133=0,"Done",IF(C133="High","Fix first",IF(C133="Moderate","Fix next",IF(C133="Low","Later","Set category")))))</f>
        <v/>
      </c>
    </row>
    <row r="134" ht="20" customHeight="1">
      <c r="B134" s="65" t="n"/>
      <c r="C134" s="66" t="n"/>
      <c r="D134" s="66" t="n"/>
      <c r="E134" s="66" t="n"/>
      <c r="F134" s="66" t="n"/>
      <c r="G134" s="66" t="n"/>
      <c r="H134" s="66" t="n"/>
      <c r="I134" s="66" t="n"/>
      <c r="J134" s="67">
        <f>IF(B134="","",(E134="No")+(F134="No")+(G134="No")+(H134="No")+(I134="No"))</f>
        <v/>
      </c>
      <c r="K134" s="68">
        <f>IF(B134="","",IF(J134=0,"Done",IF(C134="High","Fix first",IF(C134="Moderate","Fix next",IF(C134="Low","Later","Set category")))))</f>
        <v/>
      </c>
    </row>
    <row r="135" ht="20" customHeight="1">
      <c r="B135" s="65" t="n"/>
      <c r="C135" s="66" t="n"/>
      <c r="D135" s="66" t="n"/>
      <c r="E135" s="66" t="n"/>
      <c r="F135" s="66" t="n"/>
      <c r="G135" s="66" t="n"/>
      <c r="H135" s="66" t="n"/>
      <c r="I135" s="66" t="n"/>
      <c r="J135" s="67">
        <f>IF(B135="","",(E135="No")+(F135="No")+(G135="No")+(H135="No")+(I135="No"))</f>
        <v/>
      </c>
      <c r="K135" s="68">
        <f>IF(B135="","",IF(J135=0,"Done",IF(C135="High","Fix first",IF(C135="Moderate","Fix next",IF(C135="Low","Later","Set category")))))</f>
        <v/>
      </c>
    </row>
    <row r="136" ht="20" customHeight="1">
      <c r="B136" s="65" t="n"/>
      <c r="C136" s="66" t="n"/>
      <c r="D136" s="66" t="n"/>
      <c r="E136" s="66" t="n"/>
      <c r="F136" s="66" t="n"/>
      <c r="G136" s="66" t="n"/>
      <c r="H136" s="66" t="n"/>
      <c r="I136" s="66" t="n"/>
      <c r="J136" s="67">
        <f>IF(B136="","",(E136="No")+(F136="No")+(G136="No")+(H136="No")+(I136="No"))</f>
        <v/>
      </c>
      <c r="K136" s="68">
        <f>IF(B136="","",IF(J136=0,"Done",IF(C136="High","Fix first",IF(C136="Moderate","Fix next",IF(C136="Low","Later","Set category")))))</f>
        <v/>
      </c>
    </row>
    <row r="137" ht="20" customHeight="1">
      <c r="B137" s="65" t="n"/>
      <c r="C137" s="66" t="n"/>
      <c r="D137" s="66" t="n"/>
      <c r="E137" s="66" t="n"/>
      <c r="F137" s="66" t="n"/>
      <c r="G137" s="66" t="n"/>
      <c r="H137" s="66" t="n"/>
      <c r="I137" s="66" t="n"/>
      <c r="J137" s="67">
        <f>IF(B137="","",(E137="No")+(F137="No")+(G137="No")+(H137="No")+(I137="No"))</f>
        <v/>
      </c>
      <c r="K137" s="68">
        <f>IF(B137="","",IF(J137=0,"Done",IF(C137="High","Fix first",IF(C137="Moderate","Fix next",IF(C137="Low","Later","Set category")))))</f>
        <v/>
      </c>
    </row>
    <row r="138" ht="20" customHeight="1">
      <c r="B138" s="65" t="n"/>
      <c r="C138" s="66" t="n"/>
      <c r="D138" s="66" t="n"/>
      <c r="E138" s="66" t="n"/>
      <c r="F138" s="66" t="n"/>
      <c r="G138" s="66" t="n"/>
      <c r="H138" s="66" t="n"/>
      <c r="I138" s="66" t="n"/>
      <c r="J138" s="67">
        <f>IF(B138="","",(E138="No")+(F138="No")+(G138="No")+(H138="No")+(I138="No"))</f>
        <v/>
      </c>
      <c r="K138" s="68">
        <f>IF(B138="","",IF(J138=0,"Done",IF(C138="High","Fix first",IF(C138="Moderate","Fix next",IF(C138="Low","Later","Set category")))))</f>
        <v/>
      </c>
    </row>
    <row r="139" ht="20" customHeight="1">
      <c r="B139" s="65" t="n"/>
      <c r="C139" s="66" t="n"/>
      <c r="D139" s="66" t="n"/>
      <c r="E139" s="66" t="n"/>
      <c r="F139" s="66" t="n"/>
      <c r="G139" s="66" t="n"/>
      <c r="H139" s="66" t="n"/>
      <c r="I139" s="66" t="n"/>
      <c r="J139" s="67">
        <f>IF(B139="","",(E139="No")+(F139="No")+(G139="No")+(H139="No")+(I139="No"))</f>
        <v/>
      </c>
      <c r="K139" s="68">
        <f>IF(B139="","",IF(J139=0,"Done",IF(C139="High","Fix first",IF(C139="Moderate","Fix next",IF(C139="Low","Later","Set category")))))</f>
        <v/>
      </c>
    </row>
    <row r="140" ht="20" customHeight="1">
      <c r="B140" s="65" t="n"/>
      <c r="C140" s="66" t="n"/>
      <c r="D140" s="66" t="n"/>
      <c r="E140" s="66" t="n"/>
      <c r="F140" s="66" t="n"/>
      <c r="G140" s="66" t="n"/>
      <c r="H140" s="66" t="n"/>
      <c r="I140" s="66" t="n"/>
      <c r="J140" s="67">
        <f>IF(B140="","",(E140="No")+(F140="No")+(G140="No")+(H140="No")+(I140="No"))</f>
        <v/>
      </c>
      <c r="K140" s="68">
        <f>IF(B140="","",IF(J140=0,"Done",IF(C140="High","Fix first",IF(C140="Moderate","Fix next",IF(C140="Low","Later","Set category")))))</f>
        <v/>
      </c>
    </row>
    <row r="141" ht="20" customHeight="1">
      <c r="B141" s="65" t="n"/>
      <c r="C141" s="66" t="n"/>
      <c r="D141" s="66" t="n"/>
      <c r="E141" s="66" t="n"/>
      <c r="F141" s="66" t="n"/>
      <c r="G141" s="66" t="n"/>
      <c r="H141" s="66" t="n"/>
      <c r="I141" s="66" t="n"/>
      <c r="J141" s="67">
        <f>IF(B141="","",(E141="No")+(F141="No")+(G141="No")+(H141="No")+(I141="No"))</f>
        <v/>
      </c>
      <c r="K141" s="68">
        <f>IF(B141="","",IF(J141=0,"Done",IF(C141="High","Fix first",IF(C141="Moderate","Fix next",IF(C141="Low","Later","Set category")))))</f>
        <v/>
      </c>
    </row>
    <row r="142" ht="20" customHeight="1">
      <c r="B142" s="65" t="n"/>
      <c r="C142" s="66" t="n"/>
      <c r="D142" s="66" t="n"/>
      <c r="E142" s="66" t="n"/>
      <c r="F142" s="66" t="n"/>
      <c r="G142" s="66" t="n"/>
      <c r="H142" s="66" t="n"/>
      <c r="I142" s="66" t="n"/>
      <c r="J142" s="67">
        <f>IF(B142="","",(E142="No")+(F142="No")+(G142="No")+(H142="No")+(I142="No"))</f>
        <v/>
      </c>
      <c r="K142" s="68">
        <f>IF(B142="","",IF(J142=0,"Done",IF(C142="High","Fix first",IF(C142="Moderate","Fix next",IF(C142="Low","Later","Set category")))))</f>
        <v/>
      </c>
    </row>
    <row r="143" ht="20" customHeight="1">
      <c r="B143" s="65" t="n"/>
      <c r="C143" s="66" t="n"/>
      <c r="D143" s="66" t="n"/>
      <c r="E143" s="66" t="n"/>
      <c r="F143" s="66" t="n"/>
      <c r="G143" s="66" t="n"/>
      <c r="H143" s="66" t="n"/>
      <c r="I143" s="66" t="n"/>
      <c r="J143" s="67">
        <f>IF(B143="","",(E143="No")+(F143="No")+(G143="No")+(H143="No")+(I143="No"))</f>
        <v/>
      </c>
      <c r="K143" s="68">
        <f>IF(B143="","",IF(J143=0,"Done",IF(C143="High","Fix first",IF(C143="Moderate","Fix next",IF(C143="Low","Later","Set category")))))</f>
        <v/>
      </c>
    </row>
    <row r="144" ht="20" customHeight="1">
      <c r="B144" s="65" t="n"/>
      <c r="C144" s="66" t="n"/>
      <c r="D144" s="66" t="n"/>
      <c r="E144" s="66" t="n"/>
      <c r="F144" s="66" t="n"/>
      <c r="G144" s="66" t="n"/>
      <c r="H144" s="66" t="n"/>
      <c r="I144" s="66" t="n"/>
      <c r="J144" s="67">
        <f>IF(B144="","",(E144="No")+(F144="No")+(G144="No")+(H144="No")+(I144="No"))</f>
        <v/>
      </c>
      <c r="K144" s="68">
        <f>IF(B144="","",IF(J144=0,"Done",IF(C144="High","Fix first",IF(C144="Moderate","Fix next",IF(C144="Low","Later","Set category")))))</f>
        <v/>
      </c>
    </row>
    <row r="145" ht="20" customHeight="1">
      <c r="B145" s="65" t="n"/>
      <c r="C145" s="66" t="n"/>
      <c r="D145" s="66" t="n"/>
      <c r="E145" s="66" t="n"/>
      <c r="F145" s="66" t="n"/>
      <c r="G145" s="66" t="n"/>
      <c r="H145" s="66" t="n"/>
      <c r="I145" s="66" t="n"/>
      <c r="J145" s="67">
        <f>IF(B145="","",(E145="No")+(F145="No")+(G145="No")+(H145="No")+(I145="No"))</f>
        <v/>
      </c>
      <c r="K145" s="68">
        <f>IF(B145="","",IF(J145=0,"Done",IF(C145="High","Fix first",IF(C145="Moderate","Fix next",IF(C145="Low","Later","Set category")))))</f>
        <v/>
      </c>
    </row>
    <row r="146" ht="20" customHeight="1">
      <c r="B146" s="65" t="n"/>
      <c r="C146" s="66" t="n"/>
      <c r="D146" s="66" t="n"/>
      <c r="E146" s="66" t="n"/>
      <c r="F146" s="66" t="n"/>
      <c r="G146" s="66" t="n"/>
      <c r="H146" s="66" t="n"/>
      <c r="I146" s="66" t="n"/>
      <c r="J146" s="67">
        <f>IF(B146="","",(E146="No")+(F146="No")+(G146="No")+(H146="No")+(I146="No"))</f>
        <v/>
      </c>
      <c r="K146" s="68">
        <f>IF(B146="","",IF(J146=0,"Done",IF(C146="High","Fix first",IF(C146="Moderate","Fix next",IF(C146="Low","Later","Set category")))))</f>
        <v/>
      </c>
    </row>
    <row r="147" ht="20" customHeight="1">
      <c r="B147" s="65" t="n"/>
      <c r="C147" s="66" t="n"/>
      <c r="D147" s="66" t="n"/>
      <c r="E147" s="66" t="n"/>
      <c r="F147" s="66" t="n"/>
      <c r="G147" s="66" t="n"/>
      <c r="H147" s="66" t="n"/>
      <c r="I147" s="66" t="n"/>
      <c r="J147" s="67">
        <f>IF(B147="","",(E147="No")+(F147="No")+(G147="No")+(H147="No")+(I147="No"))</f>
        <v/>
      </c>
      <c r="K147" s="68">
        <f>IF(B147="","",IF(J147=0,"Done",IF(C147="High","Fix first",IF(C147="Moderate","Fix next",IF(C147="Low","Later","Set category")))))</f>
        <v/>
      </c>
    </row>
    <row r="148" ht="20" customHeight="1">
      <c r="B148" s="65" t="n"/>
      <c r="C148" s="66" t="n"/>
      <c r="D148" s="66" t="n"/>
      <c r="E148" s="66" t="n"/>
      <c r="F148" s="66" t="n"/>
      <c r="G148" s="66" t="n"/>
      <c r="H148" s="66" t="n"/>
      <c r="I148" s="66" t="n"/>
      <c r="J148" s="67">
        <f>IF(B148="","",(E148="No")+(F148="No")+(G148="No")+(H148="No")+(I148="No"))</f>
        <v/>
      </c>
      <c r="K148" s="68">
        <f>IF(B148="","",IF(J148=0,"Done",IF(C148="High","Fix first",IF(C148="Moderate","Fix next",IF(C148="Low","Later","Set category")))))</f>
        <v/>
      </c>
    </row>
    <row r="149" ht="20" customHeight="1">
      <c r="B149" s="65" t="n"/>
      <c r="C149" s="66" t="n"/>
      <c r="D149" s="66" t="n"/>
      <c r="E149" s="66" t="n"/>
      <c r="F149" s="66" t="n"/>
      <c r="G149" s="66" t="n"/>
      <c r="H149" s="66" t="n"/>
      <c r="I149" s="66" t="n"/>
      <c r="J149" s="67">
        <f>IF(B149="","",(E149="No")+(F149="No")+(G149="No")+(H149="No")+(I149="No"))</f>
        <v/>
      </c>
      <c r="K149" s="68">
        <f>IF(B149="","",IF(J149=0,"Done",IF(C149="High","Fix first",IF(C149="Moderate","Fix next",IF(C149="Low","Later","Set category")))))</f>
        <v/>
      </c>
    </row>
    <row r="150" ht="20" customHeight="1">
      <c r="B150" s="65" t="n"/>
      <c r="C150" s="66" t="n"/>
      <c r="D150" s="66" t="n"/>
      <c r="E150" s="66" t="n"/>
      <c r="F150" s="66" t="n"/>
      <c r="G150" s="66" t="n"/>
      <c r="H150" s="66" t="n"/>
      <c r="I150" s="66" t="n"/>
      <c r="J150" s="67">
        <f>IF(B150="","",(E150="No")+(F150="No")+(G150="No")+(H150="No")+(I150="No"))</f>
        <v/>
      </c>
      <c r="K150" s="68">
        <f>IF(B150="","",IF(J150=0,"Done",IF(C150="High","Fix first",IF(C150="Moderate","Fix next",IF(C150="Low","Later","Set category")))))</f>
        <v/>
      </c>
    </row>
    <row r="151" ht="20" customHeight="1">
      <c r="B151" s="65" t="n"/>
      <c r="C151" s="66" t="n"/>
      <c r="D151" s="66" t="n"/>
      <c r="E151" s="66" t="n"/>
      <c r="F151" s="66" t="n"/>
      <c r="G151" s="66" t="n"/>
      <c r="H151" s="66" t="n"/>
      <c r="I151" s="66" t="n"/>
      <c r="J151" s="67">
        <f>IF(B151="","",(E151="No")+(F151="No")+(G151="No")+(H151="No")+(I151="No"))</f>
        <v/>
      </c>
      <c r="K151" s="68">
        <f>IF(B151="","",IF(J151=0,"Done",IF(C151="High","Fix first",IF(C151="Moderate","Fix next",IF(C151="Low","Later","Set category")))))</f>
        <v/>
      </c>
    </row>
    <row r="152" ht="20" customHeight="1">
      <c r="B152" s="65" t="n"/>
      <c r="C152" s="66" t="n"/>
      <c r="D152" s="66" t="n"/>
      <c r="E152" s="66" t="n"/>
      <c r="F152" s="66" t="n"/>
      <c r="G152" s="66" t="n"/>
      <c r="H152" s="66" t="n"/>
      <c r="I152" s="66" t="n"/>
      <c r="J152" s="67">
        <f>IF(B152="","",(E152="No")+(F152="No")+(G152="No")+(H152="No")+(I152="No"))</f>
        <v/>
      </c>
      <c r="K152" s="68">
        <f>IF(B152="","",IF(J152=0,"Done",IF(C152="High","Fix first",IF(C152="Moderate","Fix next",IF(C152="Low","Later","Set category")))))</f>
        <v/>
      </c>
    </row>
    <row r="153" ht="20" customHeight="1">
      <c r="B153" s="65" t="n"/>
      <c r="C153" s="66" t="n"/>
      <c r="D153" s="66" t="n"/>
      <c r="E153" s="66" t="n"/>
      <c r="F153" s="66" t="n"/>
      <c r="G153" s="66" t="n"/>
      <c r="H153" s="66" t="n"/>
      <c r="I153" s="66" t="n"/>
      <c r="J153" s="67">
        <f>IF(B153="","",(E153="No")+(F153="No")+(G153="No")+(H153="No")+(I153="No"))</f>
        <v/>
      </c>
      <c r="K153" s="68">
        <f>IF(B153="","",IF(J153=0,"Done",IF(C153="High","Fix first",IF(C153="Moderate","Fix next",IF(C153="Low","Later","Set category")))))</f>
        <v/>
      </c>
    </row>
    <row r="154" ht="20" customHeight="1">
      <c r="B154" s="65" t="n"/>
      <c r="C154" s="66" t="n"/>
      <c r="D154" s="66" t="n"/>
      <c r="E154" s="66" t="n"/>
      <c r="F154" s="66" t="n"/>
      <c r="G154" s="66" t="n"/>
      <c r="H154" s="66" t="n"/>
      <c r="I154" s="66" t="n"/>
      <c r="J154" s="67">
        <f>IF(B154="","",(E154="No")+(F154="No")+(G154="No")+(H154="No")+(I154="No"))</f>
        <v/>
      </c>
      <c r="K154" s="68">
        <f>IF(B154="","",IF(J154=0,"Done",IF(C154="High","Fix first",IF(C154="Moderate","Fix next",IF(C154="Low","Later","Set category")))))</f>
        <v/>
      </c>
    </row>
    <row r="155" ht="20" customHeight="1">
      <c r="B155" s="65" t="n"/>
      <c r="C155" s="66" t="n"/>
      <c r="D155" s="66" t="n"/>
      <c r="E155" s="66" t="n"/>
      <c r="F155" s="66" t="n"/>
      <c r="G155" s="66" t="n"/>
      <c r="H155" s="66" t="n"/>
      <c r="I155" s="66" t="n"/>
      <c r="J155" s="67">
        <f>IF(B155="","",(E155="No")+(F155="No")+(G155="No")+(H155="No")+(I155="No"))</f>
        <v/>
      </c>
      <c r="K155" s="68">
        <f>IF(B155="","",IF(J155=0,"Done",IF(C155="High","Fix first",IF(C155="Moderate","Fix next",IF(C155="Low","Later","Set category")))))</f>
        <v/>
      </c>
    </row>
    <row r="156" ht="20" customHeight="1">
      <c r="B156" s="65" t="n"/>
      <c r="C156" s="66" t="n"/>
      <c r="D156" s="66" t="n"/>
      <c r="E156" s="66" t="n"/>
      <c r="F156" s="66" t="n"/>
      <c r="G156" s="66" t="n"/>
      <c r="H156" s="66" t="n"/>
      <c r="I156" s="66" t="n"/>
      <c r="J156" s="67">
        <f>IF(B156="","",(E156="No")+(F156="No")+(G156="No")+(H156="No")+(I156="No"))</f>
        <v/>
      </c>
      <c r="K156" s="68">
        <f>IF(B156="","",IF(J156=0,"Done",IF(C156="High","Fix first",IF(C156="Moderate","Fix next",IF(C156="Low","Later","Set category")))))</f>
        <v/>
      </c>
    </row>
    <row r="157" ht="20" customHeight="1">
      <c r="B157" s="65" t="n"/>
      <c r="C157" s="66" t="n"/>
      <c r="D157" s="66" t="n"/>
      <c r="E157" s="66" t="n"/>
      <c r="F157" s="66" t="n"/>
      <c r="G157" s="66" t="n"/>
      <c r="H157" s="66" t="n"/>
      <c r="I157" s="66" t="n"/>
      <c r="J157" s="67">
        <f>IF(B157="","",(E157="No")+(F157="No")+(G157="No")+(H157="No")+(I157="No"))</f>
        <v/>
      </c>
      <c r="K157" s="68">
        <f>IF(B157="","",IF(J157=0,"Done",IF(C157="High","Fix first",IF(C157="Moderate","Fix next",IF(C157="Low","Later","Set category")))))</f>
        <v/>
      </c>
    </row>
    <row r="158" ht="20" customHeight="1">
      <c r="B158" s="65" t="n"/>
      <c r="C158" s="66" t="n"/>
      <c r="D158" s="66" t="n"/>
      <c r="E158" s="66" t="n"/>
      <c r="F158" s="66" t="n"/>
      <c r="G158" s="66" t="n"/>
      <c r="H158" s="66" t="n"/>
      <c r="I158" s="66" t="n"/>
      <c r="J158" s="67">
        <f>IF(B158="","",(E158="No")+(F158="No")+(G158="No")+(H158="No")+(I158="No"))</f>
        <v/>
      </c>
      <c r="K158" s="68">
        <f>IF(B158="","",IF(J158=0,"Done",IF(C158="High","Fix first",IF(C158="Moderate","Fix next",IF(C158="Low","Later","Set category")))))</f>
        <v/>
      </c>
    </row>
    <row r="159" ht="20" customHeight="1">
      <c r="B159" s="65" t="n"/>
      <c r="C159" s="66" t="n"/>
      <c r="D159" s="66" t="n"/>
      <c r="E159" s="66" t="n"/>
      <c r="F159" s="66" t="n"/>
      <c r="G159" s="66" t="n"/>
      <c r="H159" s="66" t="n"/>
      <c r="I159" s="66" t="n"/>
      <c r="J159" s="67">
        <f>IF(B159="","",(E159="No")+(F159="No")+(G159="No")+(H159="No")+(I159="No"))</f>
        <v/>
      </c>
      <c r="K159" s="68">
        <f>IF(B159="","",IF(J159=0,"Done",IF(C159="High","Fix first",IF(C159="Moderate","Fix next",IF(C159="Low","Later","Set category")))))</f>
        <v/>
      </c>
    </row>
    <row r="160" ht="20" customHeight="1">
      <c r="B160" s="65" t="n"/>
      <c r="C160" s="66" t="n"/>
      <c r="D160" s="66" t="n"/>
      <c r="E160" s="66" t="n"/>
      <c r="F160" s="66" t="n"/>
      <c r="G160" s="66" t="n"/>
      <c r="H160" s="66" t="n"/>
      <c r="I160" s="66" t="n"/>
      <c r="J160" s="67">
        <f>IF(B160="","",(E160="No")+(F160="No")+(G160="No")+(H160="No")+(I160="No"))</f>
        <v/>
      </c>
      <c r="K160" s="68">
        <f>IF(B160="","",IF(J160=0,"Done",IF(C160="High","Fix first",IF(C160="Moderate","Fix next",IF(C160="Low","Later","Set category")))))</f>
        <v/>
      </c>
    </row>
    <row r="161" ht="20" customHeight="1">
      <c r="B161" s="65" t="n"/>
      <c r="C161" s="66" t="n"/>
      <c r="D161" s="66" t="n"/>
      <c r="E161" s="66" t="n"/>
      <c r="F161" s="66" t="n"/>
      <c r="G161" s="66" t="n"/>
      <c r="H161" s="66" t="n"/>
      <c r="I161" s="66" t="n"/>
      <c r="J161" s="67">
        <f>IF(B161="","",(E161="No")+(F161="No")+(G161="No")+(H161="No")+(I161="No"))</f>
        <v/>
      </c>
      <c r="K161" s="68">
        <f>IF(B161="","",IF(J161=0,"Done",IF(C161="High","Fix first",IF(C161="Moderate","Fix next",IF(C161="Low","Later","Set category")))))</f>
        <v/>
      </c>
    </row>
    <row r="162" ht="20" customHeight="1">
      <c r="B162" s="65" t="n"/>
      <c r="C162" s="66" t="n"/>
      <c r="D162" s="66" t="n"/>
      <c r="E162" s="66" t="n"/>
      <c r="F162" s="66" t="n"/>
      <c r="G162" s="66" t="n"/>
      <c r="H162" s="66" t="n"/>
      <c r="I162" s="66" t="n"/>
      <c r="J162" s="67">
        <f>IF(B162="","",(E162="No")+(F162="No")+(G162="No")+(H162="No")+(I162="No"))</f>
        <v/>
      </c>
      <c r="K162" s="68">
        <f>IF(B162="","",IF(J162=0,"Done",IF(C162="High","Fix first",IF(C162="Moderate","Fix next",IF(C162="Low","Later","Set category")))))</f>
        <v/>
      </c>
    </row>
    <row r="163" ht="20" customHeight="1">
      <c r="B163" s="65" t="n"/>
      <c r="C163" s="66" t="n"/>
      <c r="D163" s="66" t="n"/>
      <c r="E163" s="66" t="n"/>
      <c r="F163" s="66" t="n"/>
      <c r="G163" s="66" t="n"/>
      <c r="H163" s="66" t="n"/>
      <c r="I163" s="66" t="n"/>
      <c r="J163" s="67">
        <f>IF(B163="","",(E163="No")+(F163="No")+(G163="No")+(H163="No")+(I163="No"))</f>
        <v/>
      </c>
      <c r="K163" s="68">
        <f>IF(B163="","",IF(J163=0,"Done",IF(C163="High","Fix first",IF(C163="Moderate","Fix next",IF(C163="Low","Later","Set category")))))</f>
        <v/>
      </c>
    </row>
    <row r="164" ht="20" customHeight="1">
      <c r="B164" s="65" t="n"/>
      <c r="C164" s="66" t="n"/>
      <c r="D164" s="66" t="n"/>
      <c r="E164" s="66" t="n"/>
      <c r="F164" s="66" t="n"/>
      <c r="G164" s="66" t="n"/>
      <c r="H164" s="66" t="n"/>
      <c r="I164" s="66" t="n"/>
      <c r="J164" s="67">
        <f>IF(B164="","",(E164="No")+(F164="No")+(G164="No")+(H164="No")+(I164="No"))</f>
        <v/>
      </c>
      <c r="K164" s="68">
        <f>IF(B164="","",IF(J164=0,"Done",IF(C164="High","Fix first",IF(C164="Moderate","Fix next",IF(C164="Low","Later","Set category")))))</f>
        <v/>
      </c>
    </row>
    <row r="165" ht="20" customHeight="1">
      <c r="B165" s="65" t="n"/>
      <c r="C165" s="66" t="n"/>
      <c r="D165" s="66" t="n"/>
      <c r="E165" s="66" t="n"/>
      <c r="F165" s="66" t="n"/>
      <c r="G165" s="66" t="n"/>
      <c r="H165" s="66" t="n"/>
      <c r="I165" s="66" t="n"/>
      <c r="J165" s="67">
        <f>IF(B165="","",(E165="No")+(F165="No")+(G165="No")+(H165="No")+(I165="No"))</f>
        <v/>
      </c>
      <c r="K165" s="68">
        <f>IF(B165="","",IF(J165=0,"Done",IF(C165="High","Fix first",IF(C165="Moderate","Fix next",IF(C165="Low","Later","Set category")))))</f>
        <v/>
      </c>
    </row>
    <row r="166" ht="20" customHeight="1">
      <c r="B166" s="65" t="n"/>
      <c r="C166" s="66" t="n"/>
      <c r="D166" s="66" t="n"/>
      <c r="E166" s="66" t="n"/>
      <c r="F166" s="66" t="n"/>
      <c r="G166" s="66" t="n"/>
      <c r="H166" s="66" t="n"/>
      <c r="I166" s="66" t="n"/>
      <c r="J166" s="67">
        <f>IF(B166="","",(E166="No")+(F166="No")+(G166="No")+(H166="No")+(I166="No"))</f>
        <v/>
      </c>
      <c r="K166" s="68">
        <f>IF(B166="","",IF(J166=0,"Done",IF(C166="High","Fix first",IF(C166="Moderate","Fix next",IF(C166="Low","Later","Set category")))))</f>
        <v/>
      </c>
    </row>
    <row r="167" ht="20" customHeight="1">
      <c r="B167" s="65" t="n"/>
      <c r="C167" s="66" t="n"/>
      <c r="D167" s="66" t="n"/>
      <c r="E167" s="66" t="n"/>
      <c r="F167" s="66" t="n"/>
      <c r="G167" s="66" t="n"/>
      <c r="H167" s="66" t="n"/>
      <c r="I167" s="66" t="n"/>
      <c r="J167" s="67">
        <f>IF(B167="","",(E167="No")+(F167="No")+(G167="No")+(H167="No")+(I167="No"))</f>
        <v/>
      </c>
      <c r="K167" s="68">
        <f>IF(B167="","",IF(J167=0,"Done",IF(C167="High","Fix first",IF(C167="Moderate","Fix next",IF(C167="Low","Later","Set category")))))</f>
        <v/>
      </c>
    </row>
    <row r="168" ht="20" customHeight="1">
      <c r="B168" s="65" t="n"/>
      <c r="C168" s="66" t="n"/>
      <c r="D168" s="66" t="n"/>
      <c r="E168" s="66" t="n"/>
      <c r="F168" s="66" t="n"/>
      <c r="G168" s="66" t="n"/>
      <c r="H168" s="66" t="n"/>
      <c r="I168" s="66" t="n"/>
      <c r="J168" s="67">
        <f>IF(B168="","",(E168="No")+(F168="No")+(G168="No")+(H168="No")+(I168="No"))</f>
        <v/>
      </c>
      <c r="K168" s="68">
        <f>IF(B168="","",IF(J168=0,"Done",IF(C168="High","Fix first",IF(C168="Moderate","Fix next",IF(C168="Low","Later","Set category")))))</f>
        <v/>
      </c>
    </row>
    <row r="169" ht="20" customHeight="1">
      <c r="B169" s="65" t="n"/>
      <c r="C169" s="66" t="n"/>
      <c r="D169" s="66" t="n"/>
      <c r="E169" s="66" t="n"/>
      <c r="F169" s="66" t="n"/>
      <c r="G169" s="66" t="n"/>
      <c r="H169" s="66" t="n"/>
      <c r="I169" s="66" t="n"/>
      <c r="J169" s="67">
        <f>IF(B169="","",(E169="No")+(F169="No")+(G169="No")+(H169="No")+(I169="No"))</f>
        <v/>
      </c>
      <c r="K169" s="68">
        <f>IF(B169="","",IF(J169=0,"Done",IF(C169="High","Fix first",IF(C169="Moderate","Fix next",IF(C169="Low","Later","Set category")))))</f>
        <v/>
      </c>
    </row>
    <row r="170" ht="20" customHeight="1">
      <c r="B170" s="65" t="n"/>
      <c r="C170" s="66" t="n"/>
      <c r="D170" s="66" t="n"/>
      <c r="E170" s="66" t="n"/>
      <c r="F170" s="66" t="n"/>
      <c r="G170" s="66" t="n"/>
      <c r="H170" s="66" t="n"/>
      <c r="I170" s="66" t="n"/>
      <c r="J170" s="67">
        <f>IF(B170="","",(E170="No")+(F170="No")+(G170="No")+(H170="No")+(I170="No"))</f>
        <v/>
      </c>
      <c r="K170" s="68">
        <f>IF(B170="","",IF(J170=0,"Done",IF(C170="High","Fix first",IF(C170="Moderate","Fix next",IF(C170="Low","Later","Set category")))))</f>
        <v/>
      </c>
    </row>
    <row r="171" ht="20" customHeight="1">
      <c r="B171" s="65" t="n"/>
      <c r="C171" s="66" t="n"/>
      <c r="D171" s="66" t="n"/>
      <c r="E171" s="66" t="n"/>
      <c r="F171" s="66" t="n"/>
      <c r="G171" s="66" t="n"/>
      <c r="H171" s="66" t="n"/>
      <c r="I171" s="66" t="n"/>
      <c r="J171" s="67">
        <f>IF(B171="","",(E171="No")+(F171="No")+(G171="No")+(H171="No")+(I171="No"))</f>
        <v/>
      </c>
      <c r="K171" s="68">
        <f>IF(B171="","",IF(J171=0,"Done",IF(C171="High","Fix first",IF(C171="Moderate","Fix next",IF(C171="Low","Later","Set category")))))</f>
        <v/>
      </c>
    </row>
    <row r="172" ht="20" customHeight="1">
      <c r="B172" s="65" t="n"/>
      <c r="C172" s="66" t="n"/>
      <c r="D172" s="66" t="n"/>
      <c r="E172" s="66" t="n"/>
      <c r="F172" s="66" t="n"/>
      <c r="G172" s="66" t="n"/>
      <c r="H172" s="66" t="n"/>
      <c r="I172" s="66" t="n"/>
      <c r="J172" s="67">
        <f>IF(B172="","",(E172="No")+(F172="No")+(G172="No")+(H172="No")+(I172="No"))</f>
        <v/>
      </c>
      <c r="K172" s="68">
        <f>IF(B172="","",IF(J172=0,"Done",IF(C172="High","Fix first",IF(C172="Moderate","Fix next",IF(C172="Low","Later","Set category")))))</f>
        <v/>
      </c>
    </row>
    <row r="173" ht="20" customHeight="1">
      <c r="B173" s="65" t="n"/>
      <c r="C173" s="66" t="n"/>
      <c r="D173" s="66" t="n"/>
      <c r="E173" s="66" t="n"/>
      <c r="F173" s="66" t="n"/>
      <c r="G173" s="66" t="n"/>
      <c r="H173" s="66" t="n"/>
      <c r="I173" s="66" t="n"/>
      <c r="J173" s="67">
        <f>IF(B173="","",(E173="No")+(F173="No")+(G173="No")+(H173="No")+(I173="No"))</f>
        <v/>
      </c>
      <c r="K173" s="68">
        <f>IF(B173="","",IF(J173=0,"Done",IF(C173="High","Fix first",IF(C173="Moderate","Fix next",IF(C173="Low","Later","Set category")))))</f>
        <v/>
      </c>
    </row>
    <row r="174" ht="20" customHeight="1">
      <c r="B174" s="65" t="n"/>
      <c r="C174" s="66" t="n"/>
      <c r="D174" s="66" t="n"/>
      <c r="E174" s="66" t="n"/>
      <c r="F174" s="66" t="n"/>
      <c r="G174" s="66" t="n"/>
      <c r="H174" s="66" t="n"/>
      <c r="I174" s="66" t="n"/>
      <c r="J174" s="67">
        <f>IF(B174="","",(E174="No")+(F174="No")+(G174="No")+(H174="No")+(I174="No"))</f>
        <v/>
      </c>
      <c r="K174" s="68">
        <f>IF(B174="","",IF(J174=0,"Done",IF(C174="High","Fix first",IF(C174="Moderate","Fix next",IF(C174="Low","Later","Set category")))))</f>
        <v/>
      </c>
    </row>
    <row r="175" ht="20" customHeight="1">
      <c r="B175" s="65" t="n"/>
      <c r="C175" s="66" t="n"/>
      <c r="D175" s="66" t="n"/>
      <c r="E175" s="66" t="n"/>
      <c r="F175" s="66" t="n"/>
      <c r="G175" s="66" t="n"/>
      <c r="H175" s="66" t="n"/>
      <c r="I175" s="66" t="n"/>
      <c r="J175" s="67">
        <f>IF(B175="","",(E175="No")+(F175="No")+(G175="No")+(H175="No")+(I175="No"))</f>
        <v/>
      </c>
      <c r="K175" s="68">
        <f>IF(B175="","",IF(J175=0,"Done",IF(C175="High","Fix first",IF(C175="Moderate","Fix next",IF(C175="Low","Later","Set category")))))</f>
        <v/>
      </c>
    </row>
    <row r="176" ht="20" customHeight="1">
      <c r="B176" s="65" t="n"/>
      <c r="C176" s="66" t="n"/>
      <c r="D176" s="66" t="n"/>
      <c r="E176" s="66" t="n"/>
      <c r="F176" s="66" t="n"/>
      <c r="G176" s="66" t="n"/>
      <c r="H176" s="66" t="n"/>
      <c r="I176" s="66" t="n"/>
      <c r="J176" s="67">
        <f>IF(B176="","",(E176="No")+(F176="No")+(G176="No")+(H176="No")+(I176="No"))</f>
        <v/>
      </c>
      <c r="K176" s="68">
        <f>IF(B176="","",IF(J176=0,"Done",IF(C176="High","Fix first",IF(C176="Moderate","Fix next",IF(C176="Low","Later","Set category")))))</f>
        <v/>
      </c>
    </row>
    <row r="177" ht="20" customHeight="1">
      <c r="B177" s="65" t="n"/>
      <c r="C177" s="66" t="n"/>
      <c r="D177" s="66" t="n"/>
      <c r="E177" s="66" t="n"/>
      <c r="F177" s="66" t="n"/>
      <c r="G177" s="66" t="n"/>
      <c r="H177" s="66" t="n"/>
      <c r="I177" s="66" t="n"/>
      <c r="J177" s="67">
        <f>IF(B177="","",(E177="No")+(F177="No")+(G177="No")+(H177="No")+(I177="No"))</f>
        <v/>
      </c>
      <c r="K177" s="68">
        <f>IF(B177="","",IF(J177=0,"Done",IF(C177="High","Fix first",IF(C177="Moderate","Fix next",IF(C177="Low","Later","Set category")))))</f>
        <v/>
      </c>
    </row>
    <row r="178" ht="20" customHeight="1">
      <c r="B178" s="65" t="n"/>
      <c r="C178" s="66" t="n"/>
      <c r="D178" s="66" t="n"/>
      <c r="E178" s="66" t="n"/>
      <c r="F178" s="66" t="n"/>
      <c r="G178" s="66" t="n"/>
      <c r="H178" s="66" t="n"/>
      <c r="I178" s="66" t="n"/>
      <c r="J178" s="67">
        <f>IF(B178="","",(E178="No")+(F178="No")+(G178="No")+(H178="No")+(I178="No"))</f>
        <v/>
      </c>
      <c r="K178" s="68">
        <f>IF(B178="","",IF(J178=0,"Done",IF(C178="High","Fix first",IF(C178="Moderate","Fix next",IF(C178="Low","Later","Set category")))))</f>
        <v/>
      </c>
    </row>
    <row r="179" ht="20" customHeight="1">
      <c r="B179" s="65" t="n"/>
      <c r="C179" s="66" t="n"/>
      <c r="D179" s="66" t="n"/>
      <c r="E179" s="66" t="n"/>
      <c r="F179" s="66" t="n"/>
      <c r="G179" s="66" t="n"/>
      <c r="H179" s="66" t="n"/>
      <c r="I179" s="66" t="n"/>
      <c r="J179" s="67">
        <f>IF(B179="","",(E179="No")+(F179="No")+(G179="No")+(H179="No")+(I179="No"))</f>
        <v/>
      </c>
      <c r="K179" s="68">
        <f>IF(B179="","",IF(J179=0,"Done",IF(C179="High","Fix first",IF(C179="Moderate","Fix next",IF(C179="Low","Later","Set category")))))</f>
        <v/>
      </c>
    </row>
    <row r="180" ht="20" customHeight="1">
      <c r="B180" s="65" t="n"/>
      <c r="C180" s="66" t="n"/>
      <c r="D180" s="66" t="n"/>
      <c r="E180" s="66" t="n"/>
      <c r="F180" s="66" t="n"/>
      <c r="G180" s="66" t="n"/>
      <c r="H180" s="66" t="n"/>
      <c r="I180" s="66" t="n"/>
      <c r="J180" s="67">
        <f>IF(B180="","",(E180="No")+(F180="No")+(G180="No")+(H180="No")+(I180="No"))</f>
        <v/>
      </c>
      <c r="K180" s="68">
        <f>IF(B180="","",IF(J180=0,"Done",IF(C180="High","Fix first",IF(C180="Moderate","Fix next",IF(C180="Low","Later","Set category")))))</f>
        <v/>
      </c>
    </row>
    <row r="181" ht="20" customHeight="1">
      <c r="B181" s="65" t="n"/>
      <c r="C181" s="66" t="n"/>
      <c r="D181" s="66" t="n"/>
      <c r="E181" s="66" t="n"/>
      <c r="F181" s="66" t="n"/>
      <c r="G181" s="66" t="n"/>
      <c r="H181" s="66" t="n"/>
      <c r="I181" s="66" t="n"/>
      <c r="J181" s="67">
        <f>IF(B181="","",(E181="No")+(F181="No")+(G181="No")+(H181="No")+(I181="No"))</f>
        <v/>
      </c>
      <c r="K181" s="68">
        <f>IF(B181="","",IF(J181=0,"Done",IF(C181="High","Fix first",IF(C181="Moderate","Fix next",IF(C181="Low","Later","Set category")))))</f>
        <v/>
      </c>
    </row>
    <row r="182" ht="20" customHeight="1">
      <c r="B182" s="65" t="n"/>
      <c r="C182" s="66" t="n"/>
      <c r="D182" s="66" t="n"/>
      <c r="E182" s="66" t="n"/>
      <c r="F182" s="66" t="n"/>
      <c r="G182" s="66" t="n"/>
      <c r="H182" s="66" t="n"/>
      <c r="I182" s="66" t="n"/>
      <c r="J182" s="67">
        <f>IF(B182="","",(E182="No")+(F182="No")+(G182="No")+(H182="No")+(I182="No"))</f>
        <v/>
      </c>
      <c r="K182" s="68">
        <f>IF(B182="","",IF(J182=0,"Done",IF(C182="High","Fix first",IF(C182="Moderate","Fix next",IF(C182="Low","Later","Set category")))))</f>
        <v/>
      </c>
    </row>
    <row r="183" ht="20" customHeight="1">
      <c r="B183" s="65" t="n"/>
      <c r="C183" s="66" t="n"/>
      <c r="D183" s="66" t="n"/>
      <c r="E183" s="66" t="n"/>
      <c r="F183" s="66" t="n"/>
      <c r="G183" s="66" t="n"/>
      <c r="H183" s="66" t="n"/>
      <c r="I183" s="66" t="n"/>
      <c r="J183" s="67">
        <f>IF(B183="","",(E183="No")+(F183="No")+(G183="No")+(H183="No")+(I183="No"))</f>
        <v/>
      </c>
      <c r="K183" s="68">
        <f>IF(B183="","",IF(J183=0,"Done",IF(C183="High","Fix first",IF(C183="Moderate","Fix next",IF(C183="Low","Later","Set category")))))</f>
        <v/>
      </c>
    </row>
    <row r="184" ht="20" customHeight="1">
      <c r="B184" s="65" t="n"/>
      <c r="C184" s="66" t="n"/>
      <c r="D184" s="66" t="n"/>
      <c r="E184" s="66" t="n"/>
      <c r="F184" s="66" t="n"/>
      <c r="G184" s="66" t="n"/>
      <c r="H184" s="66" t="n"/>
      <c r="I184" s="66" t="n"/>
      <c r="J184" s="67">
        <f>IF(B184="","",(E184="No")+(F184="No")+(G184="No")+(H184="No")+(I184="No"))</f>
        <v/>
      </c>
      <c r="K184" s="68">
        <f>IF(B184="","",IF(J184=0,"Done",IF(C184="High","Fix first",IF(C184="Moderate","Fix next",IF(C184="Low","Later","Set category")))))</f>
        <v/>
      </c>
    </row>
    <row r="185" ht="20" customHeight="1">
      <c r="B185" s="65" t="n"/>
      <c r="C185" s="66" t="n"/>
      <c r="D185" s="66" t="n"/>
      <c r="E185" s="66" t="n"/>
      <c r="F185" s="66" t="n"/>
      <c r="G185" s="66" t="n"/>
      <c r="H185" s="66" t="n"/>
      <c r="I185" s="66" t="n"/>
      <c r="J185" s="67">
        <f>IF(B185="","",(E185="No")+(F185="No")+(G185="No")+(H185="No")+(I185="No"))</f>
        <v/>
      </c>
      <c r="K185" s="68">
        <f>IF(B185="","",IF(J185=0,"Done",IF(C185="High","Fix first",IF(C185="Moderate","Fix next",IF(C185="Low","Later","Set category")))))</f>
        <v/>
      </c>
    </row>
    <row r="186" ht="20" customHeight="1">
      <c r="B186" s="65" t="n"/>
      <c r="C186" s="66" t="n"/>
      <c r="D186" s="66" t="n"/>
      <c r="E186" s="66" t="n"/>
      <c r="F186" s="66" t="n"/>
      <c r="G186" s="66" t="n"/>
      <c r="H186" s="66" t="n"/>
      <c r="I186" s="66" t="n"/>
      <c r="J186" s="67">
        <f>IF(B186="","",(E186="No")+(F186="No")+(G186="No")+(H186="No")+(I186="No"))</f>
        <v/>
      </c>
      <c r="K186" s="68">
        <f>IF(B186="","",IF(J186=0,"Done",IF(C186="High","Fix first",IF(C186="Moderate","Fix next",IF(C186="Low","Later","Set category")))))</f>
        <v/>
      </c>
    </row>
    <row r="187" ht="20" customHeight="1">
      <c r="B187" s="65" t="n"/>
      <c r="C187" s="66" t="n"/>
      <c r="D187" s="66" t="n"/>
      <c r="E187" s="66" t="n"/>
      <c r="F187" s="66" t="n"/>
      <c r="G187" s="66" t="n"/>
      <c r="H187" s="66" t="n"/>
      <c r="I187" s="66" t="n"/>
      <c r="J187" s="67">
        <f>IF(B187="","",(E187="No")+(F187="No")+(G187="No")+(H187="No")+(I187="No"))</f>
        <v/>
      </c>
      <c r="K187" s="68">
        <f>IF(B187="","",IF(J187=0,"Done",IF(C187="High","Fix first",IF(C187="Moderate","Fix next",IF(C187="Low","Later","Set category")))))</f>
        <v/>
      </c>
    </row>
    <row r="188" ht="20" customHeight="1">
      <c r="B188" s="65" t="n"/>
      <c r="C188" s="66" t="n"/>
      <c r="D188" s="66" t="n"/>
      <c r="E188" s="66" t="n"/>
      <c r="F188" s="66" t="n"/>
      <c r="G188" s="66" t="n"/>
      <c r="H188" s="66" t="n"/>
      <c r="I188" s="66" t="n"/>
      <c r="J188" s="67">
        <f>IF(B188="","",(E188="No")+(F188="No")+(G188="No")+(H188="No")+(I188="No"))</f>
        <v/>
      </c>
      <c r="K188" s="68">
        <f>IF(B188="","",IF(J188=0,"Done",IF(C188="High","Fix first",IF(C188="Moderate","Fix next",IF(C188="Low","Later","Set category")))))</f>
        <v/>
      </c>
    </row>
    <row r="189" ht="20" customHeight="1">
      <c r="B189" s="65" t="n"/>
      <c r="C189" s="66" t="n"/>
      <c r="D189" s="66" t="n"/>
      <c r="E189" s="66" t="n"/>
      <c r="F189" s="66" t="n"/>
      <c r="G189" s="66" t="n"/>
      <c r="H189" s="66" t="n"/>
      <c r="I189" s="66" t="n"/>
      <c r="J189" s="67">
        <f>IF(B189="","",(E189="No")+(F189="No")+(G189="No")+(H189="No")+(I189="No"))</f>
        <v/>
      </c>
      <c r="K189" s="68">
        <f>IF(B189="","",IF(J189=0,"Done",IF(C189="High","Fix first",IF(C189="Moderate","Fix next",IF(C189="Low","Later","Set category")))))</f>
        <v/>
      </c>
    </row>
    <row r="190" ht="20" customHeight="1">
      <c r="B190" s="65" t="n"/>
      <c r="C190" s="66" t="n"/>
      <c r="D190" s="66" t="n"/>
      <c r="E190" s="66" t="n"/>
      <c r="F190" s="66" t="n"/>
      <c r="G190" s="66" t="n"/>
      <c r="H190" s="66" t="n"/>
      <c r="I190" s="66" t="n"/>
      <c r="J190" s="67">
        <f>IF(B190="","",(E190="No")+(F190="No")+(G190="No")+(H190="No")+(I190="No"))</f>
        <v/>
      </c>
      <c r="K190" s="68">
        <f>IF(B190="","",IF(J190=0,"Done",IF(C190="High","Fix first",IF(C190="Moderate","Fix next",IF(C190="Low","Later","Set category")))))</f>
        <v/>
      </c>
    </row>
    <row r="191" ht="20" customHeight="1">
      <c r="B191" s="65" t="n"/>
      <c r="C191" s="66" t="n"/>
      <c r="D191" s="66" t="n"/>
      <c r="E191" s="66" t="n"/>
      <c r="F191" s="66" t="n"/>
      <c r="G191" s="66" t="n"/>
      <c r="H191" s="66" t="n"/>
      <c r="I191" s="66" t="n"/>
      <c r="J191" s="67">
        <f>IF(B191="","",(E191="No")+(F191="No")+(G191="No")+(H191="No")+(I191="No"))</f>
        <v/>
      </c>
      <c r="K191" s="68">
        <f>IF(B191="","",IF(J191=0,"Done",IF(C191="High","Fix first",IF(C191="Moderate","Fix next",IF(C191="Low","Later","Set category")))))</f>
        <v/>
      </c>
    </row>
    <row r="192" ht="20" customHeight="1">
      <c r="B192" s="65" t="n"/>
      <c r="C192" s="66" t="n"/>
      <c r="D192" s="66" t="n"/>
      <c r="E192" s="66" t="n"/>
      <c r="F192" s="66" t="n"/>
      <c r="G192" s="66" t="n"/>
      <c r="H192" s="66" t="n"/>
      <c r="I192" s="66" t="n"/>
      <c r="J192" s="67">
        <f>IF(B192="","",(E192="No")+(F192="No")+(G192="No")+(H192="No")+(I192="No"))</f>
        <v/>
      </c>
      <c r="K192" s="68">
        <f>IF(B192="","",IF(J192=0,"Done",IF(C192="High","Fix first",IF(C192="Moderate","Fix next",IF(C192="Low","Later","Set category")))))</f>
        <v/>
      </c>
    </row>
    <row r="193" ht="20" customHeight="1">
      <c r="B193" s="65" t="n"/>
      <c r="C193" s="66" t="n"/>
      <c r="D193" s="66" t="n"/>
      <c r="E193" s="66" t="n"/>
      <c r="F193" s="66" t="n"/>
      <c r="G193" s="66" t="n"/>
      <c r="H193" s="66" t="n"/>
      <c r="I193" s="66" t="n"/>
      <c r="J193" s="67">
        <f>IF(B193="","",(E193="No")+(F193="No")+(G193="No")+(H193="No")+(I193="No"))</f>
        <v/>
      </c>
      <c r="K193" s="68">
        <f>IF(B193="","",IF(J193=0,"Done",IF(C193="High","Fix first",IF(C193="Moderate","Fix next",IF(C193="Low","Later","Set category")))))</f>
        <v/>
      </c>
    </row>
    <row r="194" ht="20" customHeight="1">
      <c r="B194" s="65" t="n"/>
      <c r="C194" s="66" t="n"/>
      <c r="D194" s="66" t="n"/>
      <c r="E194" s="66" t="n"/>
      <c r="F194" s="66" t="n"/>
      <c r="G194" s="66" t="n"/>
      <c r="H194" s="66" t="n"/>
      <c r="I194" s="66" t="n"/>
      <c r="J194" s="67">
        <f>IF(B194="","",(E194="No")+(F194="No")+(G194="No")+(H194="No")+(I194="No"))</f>
        <v/>
      </c>
      <c r="K194" s="68">
        <f>IF(B194="","",IF(J194=0,"Done",IF(C194="High","Fix first",IF(C194="Moderate","Fix next",IF(C194="Low","Later","Set category")))))</f>
        <v/>
      </c>
    </row>
    <row r="195" ht="20" customHeight="1">
      <c r="B195" s="65" t="n"/>
      <c r="C195" s="66" t="n"/>
      <c r="D195" s="66" t="n"/>
      <c r="E195" s="66" t="n"/>
      <c r="F195" s="66" t="n"/>
      <c r="G195" s="66" t="n"/>
      <c r="H195" s="66" t="n"/>
      <c r="I195" s="66" t="n"/>
      <c r="J195" s="67">
        <f>IF(B195="","",(E195="No")+(F195="No")+(G195="No")+(H195="No")+(I195="No"))</f>
        <v/>
      </c>
      <c r="K195" s="68">
        <f>IF(B195="","",IF(J195=0,"Done",IF(C195="High","Fix first",IF(C195="Moderate","Fix next",IF(C195="Low","Later","Set category")))))</f>
        <v/>
      </c>
    </row>
    <row r="196" ht="20" customHeight="1">
      <c r="B196" s="65" t="n"/>
      <c r="C196" s="66" t="n"/>
      <c r="D196" s="66" t="n"/>
      <c r="E196" s="66" t="n"/>
      <c r="F196" s="66" t="n"/>
      <c r="G196" s="66" t="n"/>
      <c r="H196" s="66" t="n"/>
      <c r="I196" s="66" t="n"/>
      <c r="J196" s="67">
        <f>IF(B196="","",(E196="No")+(F196="No")+(G196="No")+(H196="No")+(I196="No"))</f>
        <v/>
      </c>
      <c r="K196" s="68">
        <f>IF(B196="","",IF(J196=0,"Done",IF(C196="High","Fix first",IF(C196="Moderate","Fix next",IF(C196="Low","Later","Set category")))))</f>
        <v/>
      </c>
    </row>
    <row r="197" ht="20" customHeight="1">
      <c r="B197" s="65" t="n"/>
      <c r="C197" s="66" t="n"/>
      <c r="D197" s="66" t="n"/>
      <c r="E197" s="66" t="n"/>
      <c r="F197" s="66" t="n"/>
      <c r="G197" s="66" t="n"/>
      <c r="H197" s="66" t="n"/>
      <c r="I197" s="66" t="n"/>
      <c r="J197" s="67">
        <f>IF(B197="","",(E197="No")+(F197="No")+(G197="No")+(H197="No")+(I197="No"))</f>
        <v/>
      </c>
      <c r="K197" s="68">
        <f>IF(B197="","",IF(J197=0,"Done",IF(C197="High","Fix first",IF(C197="Moderate","Fix next",IF(C197="Low","Later","Set category")))))</f>
        <v/>
      </c>
    </row>
    <row r="198" ht="20" customHeight="1">
      <c r="B198" s="65" t="n"/>
      <c r="C198" s="66" t="n"/>
      <c r="D198" s="66" t="n"/>
      <c r="E198" s="66" t="n"/>
      <c r="F198" s="66" t="n"/>
      <c r="G198" s="66" t="n"/>
      <c r="H198" s="66" t="n"/>
      <c r="I198" s="66" t="n"/>
      <c r="J198" s="67">
        <f>IF(B198="","",(E198="No")+(F198="No")+(G198="No")+(H198="No")+(I198="No"))</f>
        <v/>
      </c>
      <c r="K198" s="68">
        <f>IF(B198="","",IF(J198=0,"Done",IF(C198="High","Fix first",IF(C198="Moderate","Fix next",IF(C198="Low","Later","Set category")))))</f>
        <v/>
      </c>
    </row>
    <row r="199" ht="20" customHeight="1">
      <c r="B199" s="65" t="n"/>
      <c r="C199" s="66" t="n"/>
      <c r="D199" s="66" t="n"/>
      <c r="E199" s="66" t="n"/>
      <c r="F199" s="66" t="n"/>
      <c r="G199" s="66" t="n"/>
      <c r="H199" s="66" t="n"/>
      <c r="I199" s="66" t="n"/>
      <c r="J199" s="67">
        <f>IF(B199="","",(E199="No")+(F199="No")+(G199="No")+(H199="No")+(I199="No"))</f>
        <v/>
      </c>
      <c r="K199" s="68">
        <f>IF(B199="","",IF(J199=0,"Done",IF(C199="High","Fix first",IF(C199="Moderate","Fix next",IF(C199="Low","Later","Set category")))))</f>
        <v/>
      </c>
    </row>
    <row r="200" ht="20" customHeight="1">
      <c r="B200" s="65" t="n"/>
      <c r="C200" s="66" t="n"/>
      <c r="D200" s="66" t="n"/>
      <c r="E200" s="66" t="n"/>
      <c r="F200" s="66" t="n"/>
      <c r="G200" s="66" t="n"/>
      <c r="H200" s="66" t="n"/>
      <c r="I200" s="66" t="n"/>
      <c r="J200" s="67">
        <f>IF(B200="","",(E200="No")+(F200="No")+(G200="No")+(H200="No")+(I200="No"))</f>
        <v/>
      </c>
      <c r="K200" s="68">
        <f>IF(B200="","",IF(J200=0,"Done",IF(C200="High","Fix first",IF(C200="Moderate","Fix next",IF(C200="Low","Later","Set category")))))</f>
        <v/>
      </c>
    </row>
    <row r="201" ht="20" customHeight="1">
      <c r="B201" s="65" t="n"/>
      <c r="C201" s="66" t="n"/>
      <c r="D201" s="66" t="n"/>
      <c r="E201" s="66" t="n"/>
      <c r="F201" s="66" t="n"/>
      <c r="G201" s="66" t="n"/>
      <c r="H201" s="66" t="n"/>
      <c r="I201" s="66" t="n"/>
      <c r="J201" s="67">
        <f>IF(B201="","",(E201="No")+(F201="No")+(G201="No")+(H201="No")+(I201="No"))</f>
        <v/>
      </c>
      <c r="K201" s="68">
        <f>IF(B201="","",IF(J201=0,"Done",IF(C201="High","Fix first",IF(C201="Moderate","Fix next",IF(C201="Low","Later","Set category")))))</f>
        <v/>
      </c>
    </row>
    <row r="202" ht="20" customHeight="1">
      <c r="B202" s="65" t="n"/>
      <c r="C202" s="66" t="n"/>
      <c r="D202" s="66" t="n"/>
      <c r="E202" s="66" t="n"/>
      <c r="F202" s="66" t="n"/>
      <c r="G202" s="66" t="n"/>
      <c r="H202" s="66" t="n"/>
      <c r="I202" s="66" t="n"/>
      <c r="J202" s="67">
        <f>IF(B202="","",(E202="No")+(F202="No")+(G202="No")+(H202="No")+(I202="No"))</f>
        <v/>
      </c>
      <c r="K202" s="68">
        <f>IF(B202="","",IF(J202=0,"Done",IF(C202="High","Fix first",IF(C202="Moderate","Fix next",IF(C202="Low","Later","Set category")))))</f>
        <v/>
      </c>
    </row>
    <row r="203" ht="20" customHeight="1">
      <c r="B203" s="65" t="n"/>
      <c r="C203" s="66" t="n"/>
      <c r="D203" s="66" t="n"/>
      <c r="E203" s="66" t="n"/>
      <c r="F203" s="66" t="n"/>
      <c r="G203" s="66" t="n"/>
      <c r="H203" s="66" t="n"/>
      <c r="I203" s="66" t="n"/>
      <c r="J203" s="67">
        <f>IF(B203="","",(E203="No")+(F203="No")+(G203="No")+(H203="No")+(I203="No"))</f>
        <v/>
      </c>
      <c r="K203" s="68">
        <f>IF(B203="","",IF(J203=0,"Done",IF(C203="High","Fix first",IF(C203="Moderate","Fix next",IF(C203="Low","Later","Set category")))))</f>
        <v/>
      </c>
    </row>
    <row r="204" ht="20" customHeight="1">
      <c r="B204" s="65" t="n"/>
      <c r="C204" s="66" t="n"/>
      <c r="D204" s="66" t="n"/>
      <c r="E204" s="66" t="n"/>
      <c r="F204" s="66" t="n"/>
      <c r="G204" s="66" t="n"/>
      <c r="H204" s="66" t="n"/>
      <c r="I204" s="66" t="n"/>
      <c r="J204" s="67">
        <f>IF(B204="","",(E204="No")+(F204="No")+(G204="No")+(H204="No")+(I204="No"))</f>
        <v/>
      </c>
      <c r="K204" s="68">
        <f>IF(B204="","",IF(J204=0,"Done",IF(C204="High","Fix first",IF(C204="Moderate","Fix next",IF(C204="Low","Later","Set category")))))</f>
        <v/>
      </c>
    </row>
    <row r="205" ht="20" customHeight="1">
      <c r="B205" s="65" t="n"/>
      <c r="C205" s="66" t="n"/>
      <c r="D205" s="66" t="n"/>
      <c r="E205" s="66" t="n"/>
      <c r="F205" s="66" t="n"/>
      <c r="G205" s="66" t="n"/>
      <c r="H205" s="66" t="n"/>
      <c r="I205" s="66" t="n"/>
      <c r="J205" s="67">
        <f>IF(B205="","",(E205="No")+(F205="No")+(G205="No")+(H205="No")+(I205="No"))</f>
        <v/>
      </c>
      <c r="K205" s="68">
        <f>IF(B205="","",IF(J205=0,"Done",IF(C205="High","Fix first",IF(C205="Moderate","Fix next",IF(C205="Low","Later","Set category")))))</f>
        <v/>
      </c>
    </row>
    <row r="206" ht="20" customHeight="1">
      <c r="B206" s="65" t="n"/>
      <c r="C206" s="66" t="n"/>
      <c r="D206" s="66" t="n"/>
      <c r="E206" s="66" t="n"/>
      <c r="F206" s="66" t="n"/>
      <c r="G206" s="66" t="n"/>
      <c r="H206" s="66" t="n"/>
      <c r="I206" s="66" t="n"/>
      <c r="J206" s="67">
        <f>IF(B206="","",(E206="No")+(F206="No")+(G206="No")+(H206="No")+(I206="No"))</f>
        <v/>
      </c>
      <c r="K206" s="68">
        <f>IF(B206="","",IF(J206=0,"Done",IF(C206="High","Fix first",IF(C206="Moderate","Fix next",IF(C206="Low","Later","Set category")))))</f>
        <v/>
      </c>
    </row>
    <row r="207" ht="20" customHeight="1">
      <c r="B207" s="65" t="n"/>
      <c r="C207" s="66" t="n"/>
      <c r="D207" s="66" t="n"/>
      <c r="E207" s="66" t="n"/>
      <c r="F207" s="66" t="n"/>
      <c r="G207" s="66" t="n"/>
      <c r="H207" s="66" t="n"/>
      <c r="I207" s="66" t="n"/>
      <c r="J207" s="67">
        <f>IF(B207="","",(E207="No")+(F207="No")+(G207="No")+(H207="No")+(I207="No"))</f>
        <v/>
      </c>
      <c r="K207" s="68">
        <f>IF(B207="","",IF(J207=0,"Done",IF(C207="High","Fix first",IF(C207="Moderate","Fix next",IF(C207="Low","Later","Set category")))))</f>
        <v/>
      </c>
    </row>
  </sheetData>
  <autoFilter ref="B6:K207"/>
  <mergeCells count="1">
    <mergeCell ref="B5:K5"/>
  </mergeCells>
  <conditionalFormatting sqref="C8:C207">
    <cfRule type="cellIs" priority="1" operator="equal" dxfId="0">
      <formula>"High"</formula>
    </cfRule>
    <cfRule type="cellIs" priority="2" operator="equal" dxfId="1">
      <formula>"Moderate"</formula>
    </cfRule>
    <cfRule type="cellIs" priority="3" operator="equal" dxfId="2">
      <formula>"Low"</formula>
    </cfRule>
  </conditionalFormatting>
  <conditionalFormatting sqref="E8:E207">
    <cfRule type="cellIs" priority="4" operator="equal" dxfId="2">
      <formula>"Yes"</formula>
    </cfRule>
    <cfRule type="cellIs" priority="5" operator="equal" dxfId="0">
      <formula>"No"</formula>
    </cfRule>
  </conditionalFormatting>
  <conditionalFormatting sqref="F8:F207">
    <cfRule type="cellIs" priority="6" operator="equal" dxfId="2">
      <formula>"Yes"</formula>
    </cfRule>
    <cfRule type="cellIs" priority="7" operator="equal" dxfId="0">
      <formula>"No"</formula>
    </cfRule>
  </conditionalFormatting>
  <conditionalFormatting sqref="G8:G207">
    <cfRule type="cellIs" priority="8" operator="equal" dxfId="2">
      <formula>"Yes"</formula>
    </cfRule>
    <cfRule type="cellIs" priority="9" operator="equal" dxfId="0">
      <formula>"No"</formula>
    </cfRule>
  </conditionalFormatting>
  <conditionalFormatting sqref="H8:H207">
    <cfRule type="cellIs" priority="10" operator="equal" dxfId="2">
      <formula>"Yes"</formula>
    </cfRule>
    <cfRule type="cellIs" priority="11" operator="equal" dxfId="0">
      <formula>"No"</formula>
    </cfRule>
  </conditionalFormatting>
  <conditionalFormatting sqref="I8:I207">
    <cfRule type="cellIs" priority="12" operator="equal" dxfId="2">
      <formula>"Yes"</formula>
    </cfRule>
    <cfRule type="cellIs" priority="13" operator="equal" dxfId="0">
      <formula>"No"</formula>
    </cfRule>
  </conditionalFormatting>
  <conditionalFormatting sqref="J8:J207">
    <cfRule type="expression" priority="14" dxfId="0">
      <formula>AND(ISNUMBER(J8),J8&gt;=3)</formula>
    </cfRule>
    <cfRule type="expression" priority="15" dxfId="1">
      <formula>AND(ISNUMBER(J8),J8&gt;=1)</formula>
    </cfRule>
    <cfRule type="expression" priority="16" dxfId="2">
      <formula>AND(ISNUMBER(J8),J8=0)</formula>
    </cfRule>
  </conditionalFormatting>
  <conditionalFormatting sqref="K8:K207">
    <cfRule type="cellIs" priority="17" operator="equal" dxfId="0">
      <formula>"Fix first"</formula>
    </cfRule>
    <cfRule type="cellIs" priority="18" operator="equal" dxfId="1">
      <formula>"Fix next"</formula>
    </cfRule>
    <cfRule type="cellIs" priority="19" operator="equal" dxfId="3">
      <formula>"Later"</formula>
    </cfRule>
    <cfRule type="cellIs" priority="20" operator="equal" dxfId="2">
      <formula>"Done"</formula>
    </cfRule>
    <cfRule type="cellIs" priority="21" operator="equal" dxfId="3">
      <formula>"Set category"</formula>
    </cfRule>
  </conditionalFormatting>
  <dataValidations count="6">
    <dataValidation sqref="C7:C207" showDropDown="0" showInputMessage="0" showErrorMessage="1" allowBlank="1" errorTitle="Pick from the list" error="Choose one of: Low, Moderate, High" type="list">
      <formula1>"Low,Moderate,High"</formula1>
    </dataValidation>
    <dataValidation sqref="E7:E207" showDropDown="0" showInputMessage="0" showErrorMessage="1" allowBlank="1" errorTitle="Pick from the list" error="Choose one of: Yes, No" type="list">
      <formula1>"Yes,No"</formula1>
    </dataValidation>
    <dataValidation sqref="F7:F207" showDropDown="0" showInputMessage="0" showErrorMessage="1" allowBlank="1" errorTitle="Pick from the list" error="Choose one of: Yes, No" type="list">
      <formula1>"Yes,No"</formula1>
    </dataValidation>
    <dataValidation sqref="G7:G207" showDropDown="0" showInputMessage="0" showErrorMessage="1" allowBlank="1" errorTitle="Pick from the list" error="Choose one of: Yes, No" type="list">
      <formula1>"Yes,No"</formula1>
    </dataValidation>
    <dataValidation sqref="H7:H207" showDropDown="0" showInputMessage="0" showErrorMessage="1" allowBlank="1" errorTitle="Pick from the list" error="Choose one of: Yes, No" type="list">
      <formula1>"Yes,No"</formula1>
    </dataValidation>
    <dataValidation sqref="I7:I207" showDropDown="0" showInputMessage="0" showErrorMessage="1" allowBlank="1" errorTitle="Pick from the list" error="Choose one of: Yes, No" type="list">
      <formula1>"Yes,No"</formula1>
    </dataValidation>
  </dataValidations>
  <hyperlinks>
    <hyperlink ref="K2" location="'Start Here'!A1" display="Start Here"/>
  </hyperlinks>
  <pageMargins left="0.4" right="0.4" top="0.5" bottom="0.5"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898781"/>
    <outlinePr summaryBelow="1" summaryRight="1"/>
    <pageSetUpPr fitToPage="1"/>
  </sheetPr>
  <dimension ref="A1:E40"/>
  <sheetViews>
    <sheetView showGridLines="0" zoomScale="100" workbookViewId="0">
      <selection activeCell="A1" sqref="A1"/>
    </sheetView>
  </sheetViews>
  <sheetFormatPr baseColWidth="8" defaultRowHeight="15"/>
  <cols>
    <col width="2.5" customWidth="1" min="1" max="1"/>
    <col width="66" customWidth="1" min="2" max="2"/>
    <col width="46" customWidth="1" min="3" max="3"/>
    <col width="16" customWidth="1" min="4" max="4"/>
    <col width="2.5" customWidth="1" min="5" max="5"/>
  </cols>
  <sheetData>
    <row r="1" ht="10" customHeight="1">
      <c r="A1" s="1" t="n"/>
      <c r="B1" s="1" t="n"/>
      <c r="C1" s="1" t="n"/>
      <c r="D1" s="1" t="n"/>
      <c r="E1" s="1" t="n"/>
    </row>
    <row r="2" ht="34" customHeight="1">
      <c r="A2" s="1" t="n"/>
      <c r="B2" s="2" t="inlineStr">
        <is>
          <t>Resources</t>
        </is>
      </c>
      <c r="C2" s="1" t="n"/>
      <c r="D2" s="31" t="inlineStr">
        <is>
          <t>← Start Here</t>
        </is>
      </c>
      <c r="E2" s="1" t="n"/>
    </row>
    <row r="3" ht="20" customHeight="1">
      <c r="A3" s="1" t="n"/>
      <c r="B3" s="3" t="inlineStr">
        <is>
          <t>Where the numbers and ideas in this workbook come from</t>
        </is>
      </c>
      <c r="C3" s="1" t="n"/>
      <c r="D3" s="1" t="n"/>
      <c r="E3" s="1" t="n"/>
    </row>
    <row r="4" ht="12" customHeight="1">
      <c r="A4" s="1" t="n"/>
      <c r="B4" s="1" t="n"/>
      <c r="C4" s="1" t="n"/>
      <c r="D4" s="1" t="n"/>
      <c r="E4" s="1" t="n"/>
    </row>
    <row r="5" ht="12" customHeight="1"/>
    <row r="6" ht="26" customHeight="1">
      <c r="B6" s="6" t="inlineStr">
        <is>
          <t>Threat reports (the stats on Common Attack Vectors)</t>
        </is>
      </c>
      <c r="C6" s="7" t="n"/>
      <c r="D6" s="7" t="n"/>
    </row>
    <row r="7" ht="6" customHeight="1"/>
    <row r="8" ht="24.2" customHeight="1">
      <c r="B8" s="70" t="inlineStr">
        <is>
          <t>Verizon 2026 Data Breach Investigations Report (DBIR)</t>
        </is>
      </c>
      <c r="C8" s="71" t="inlineStr">
        <is>
          <t>www.verizon.com/business/resources/reports/2026-dbir-data-breach-in…</t>
        </is>
      </c>
      <c r="D8" s="27" t="n"/>
    </row>
    <row r="9" ht="24.2" customHeight="1">
      <c r="B9" s="70" t="inlineStr">
        <is>
          <t>Verizon 2026 DBIR executive summary</t>
        </is>
      </c>
      <c r="C9" s="71" t="inlineStr">
        <is>
          <t>www.verizon.com/business/resources/executivebriefs/2026-dbir-execut…</t>
        </is>
      </c>
      <c r="D9" s="27" t="n"/>
    </row>
    <row r="10" ht="24.2" customHeight="1">
      <c r="B10" s="70" t="inlineStr">
        <is>
          <t>Verizon DBIR home (all editions)</t>
        </is>
      </c>
      <c r="C10" s="71" t="inlineStr">
        <is>
          <t>www.verizon.com/business/resources/reports/dbir/</t>
        </is>
      </c>
      <c r="D10" s="27" t="n"/>
    </row>
    <row r="11" ht="12" customHeight="1"/>
    <row r="12" ht="26" customHeight="1">
      <c r="B12" s="6" t="inlineStr">
        <is>
          <t>Protect yourself</t>
        </is>
      </c>
      <c r="C12" s="7" t="n"/>
      <c r="D12" s="7" t="n"/>
    </row>
    <row r="13" ht="6" customHeight="1"/>
    <row r="14" ht="24.2" customHeight="1">
      <c r="B14" s="70" t="inlineStr">
        <is>
          <t>CISA Secure Our World – simple steps for everyone</t>
        </is>
      </c>
      <c r="C14" s="71" t="inlineStr">
        <is>
          <t>www.cisa.gov/secure-our-world</t>
        </is>
      </c>
      <c r="D14" s="27" t="n"/>
    </row>
    <row r="15" ht="24.2" customHeight="1">
      <c r="B15" s="70" t="inlineStr">
        <is>
          <t>CISA – Use strong passwords (and a password manager)</t>
        </is>
      </c>
      <c r="C15" s="71" t="inlineStr">
        <is>
          <t>www.cisa.gov/secure-our-world/use-strong-passwords</t>
        </is>
      </c>
      <c r="D15" s="27" t="n"/>
    </row>
    <row r="16" ht="24.2" customHeight="1">
      <c r="B16" s="70" t="inlineStr">
        <is>
          <t>FIDO Alliance – What are passkeys?</t>
        </is>
      </c>
      <c r="C16" s="71" t="inlineStr">
        <is>
          <t>fidoalliance.org/passkeys/</t>
        </is>
      </c>
      <c r="D16" s="27" t="n"/>
    </row>
    <row r="17" ht="24.2" customHeight="1">
      <c r="B17" s="70" t="inlineStr">
        <is>
          <t>Have I Been Pwned – check if your email was in a breach</t>
        </is>
      </c>
      <c r="C17" s="71" t="inlineStr">
        <is>
          <t>haveibeenpwned.com/</t>
        </is>
      </c>
      <c r="D17" s="27" t="n"/>
    </row>
    <row r="18" ht="12" customHeight="1"/>
    <row r="19" ht="26" customHeight="1">
      <c r="B19" s="6" t="inlineStr">
        <is>
          <t>Standards &amp; frameworks</t>
        </is>
      </c>
      <c r="C19" s="7" t="n"/>
      <c r="D19" s="7" t="n"/>
    </row>
    <row r="20" ht="6" customHeight="1"/>
    <row r="21" ht="24.2" customHeight="1">
      <c r="B21" s="70" t="inlineStr">
        <is>
          <t>NIST IR 7298 Rev. 2 – Glossary of Key Information Security Terms</t>
        </is>
      </c>
      <c r="C21" s="71" t="inlineStr">
        <is>
          <t>nvlpubs.nist.gov/nistpubs/ir/2013/nist.ir.7298r2.pdf</t>
        </is>
      </c>
      <c r="D21" s="27" t="n"/>
    </row>
    <row r="22" ht="24.2" customHeight="1">
      <c r="B22" s="70" t="inlineStr">
        <is>
          <t>NIST SP 800-53 Rev. 5 – Security and Privacy Controls</t>
        </is>
      </c>
      <c r="C22" s="71" t="inlineStr">
        <is>
          <t>csrc.nist.gov/pubs/sp/800/53/r5/upd1/final</t>
        </is>
      </c>
      <c r="D22" s="27" t="n"/>
    </row>
    <row r="23" ht="24.2" customHeight="1">
      <c r="B23" s="70" t="inlineStr">
        <is>
          <t>ISO 31000 – Risk management guidelines</t>
        </is>
      </c>
      <c r="C23" s="71" t="inlineStr">
        <is>
          <t>www.iso.org/obp/ui/#iso:std:iso:31000:ed-2:v1:en</t>
        </is>
      </c>
      <c r="D23" s="27" t="n"/>
    </row>
    <row r="24" ht="12" customHeight="1"/>
    <row r="25" ht="26" customHeight="1">
      <c r="B25" s="6" t="inlineStr">
        <is>
          <t>Hardening guides (STIGs)</t>
        </is>
      </c>
      <c r="C25" s="7" t="n"/>
      <c r="D25" s="7" t="n"/>
    </row>
    <row r="26" ht="6" customHeight="1"/>
    <row r="27" ht="24.2" customHeight="1">
      <c r="B27" s="70" t="inlineStr">
        <is>
          <t>DISA STIG document library</t>
        </is>
      </c>
      <c r="C27" s="71" t="inlineStr">
        <is>
          <t>www.cyber.mil/stigs/downloads/</t>
        </is>
      </c>
      <c r="D27" s="27" t="n"/>
    </row>
    <row r="28" ht="24.2" customHeight="1">
      <c r="B28" s="70" t="inlineStr">
        <is>
          <t>DISA SRG &amp; STIG library compilations</t>
        </is>
      </c>
      <c r="C28" s="71" t="inlineStr">
        <is>
          <t>www.cyber.mil/stigs/compilations/</t>
        </is>
      </c>
      <c r="D28" s="27" t="n"/>
    </row>
    <row r="29" ht="24.2" customHeight="1">
      <c r="B29" s="70" t="inlineStr">
        <is>
          <t>STIG Viewer (browse STIGs online)</t>
        </is>
      </c>
      <c r="C29" s="71" t="inlineStr">
        <is>
          <t>www.stigviewer.com/stigs</t>
        </is>
      </c>
      <c r="D29" s="27" t="n"/>
    </row>
    <row r="30" ht="12" customHeight="1"/>
    <row r="31" ht="26" customHeight="1">
      <c r="B31" s="6" t="inlineStr">
        <is>
          <t>Further reading</t>
        </is>
      </c>
      <c r="C31" s="7" t="n"/>
      <c r="D31" s="7" t="n"/>
    </row>
    <row r="32" ht="6" customHeight="1"/>
    <row r="33" ht="38.4" customHeight="1">
      <c r="B33" s="70" t="inlineStr">
        <is>
          <t>Ars Technica – How I learned to stop worrying (mostly) and love my threat model</t>
        </is>
      </c>
      <c r="C33" s="71" t="inlineStr">
        <is>
          <t>arstechnica.com/information-technology/2017/07/how-i-learned-to-sto…</t>
        </is>
      </c>
      <c r="D33" s="27" t="n"/>
    </row>
    <row r="34" ht="12" customHeight="1"/>
    <row r="35" ht="26" customHeight="1">
      <c r="B35" s="6" t="inlineStr">
        <is>
          <t>Earlier editions (the 2022 version of this workbook)</t>
        </is>
      </c>
      <c r="C35" s="7" t="n"/>
      <c r="D35" s="7" t="n"/>
    </row>
    <row r="36" ht="6" customHeight="1"/>
    <row r="37" ht="24.2" customHeight="1">
      <c r="B37" s="70" t="inlineStr">
        <is>
          <t>Verizon 2022 DBIR</t>
        </is>
      </c>
      <c r="C37" s="71" t="inlineStr">
        <is>
          <t>www.verizon.com/business/resources/reports/2022/dbir/2022-data-brea…</t>
        </is>
      </c>
      <c r="D37" s="27" t="n"/>
    </row>
    <row r="38" ht="24.2" customHeight="1">
      <c r="B38" s="70" t="inlineStr">
        <is>
          <t>Kroll Q1 2022 Threat Landscape</t>
        </is>
      </c>
      <c r="C38" s="71" t="inlineStr">
        <is>
          <t>www.kroll.com/en/insights/publications/cyber/q1-2022-threat-landsca…</t>
        </is>
      </c>
      <c r="D38" s="27" t="n"/>
    </row>
    <row r="39" ht="24.2" customHeight="1">
      <c r="B39" s="70" t="inlineStr">
        <is>
          <t>Kaspersky Incident Response Analyst Report 2021</t>
        </is>
      </c>
      <c r="C39" s="71" t="inlineStr">
        <is>
          <t>media.kasperskycontenthub.com/wp-content/uploads/sites/43/2021/09/1…</t>
        </is>
      </c>
      <c r="D39" s="27" t="n"/>
    </row>
    <row r="40" ht="24.2" customHeight="1">
      <c r="B40" s="70" t="inlineStr">
        <is>
          <t>Kaspersky – The nature of cyber incidents (2022)</t>
        </is>
      </c>
      <c r="C40" s="71" t="inlineStr">
        <is>
          <t>media.kasperskycontenthub.com/wp-content/uploads/sites/43/2022/09/0…</t>
        </is>
      </c>
      <c r="D40" s="27" t="n"/>
    </row>
    <row r="41" ht="12" customHeight="1"/>
  </sheetData>
  <mergeCells count="18">
    <mergeCell ref="C29:D29"/>
    <mergeCell ref="C10:D10"/>
    <mergeCell ref="C16:D16"/>
    <mergeCell ref="C21:D21"/>
    <mergeCell ref="C15:D15"/>
    <mergeCell ref="C33:D33"/>
    <mergeCell ref="C38:D38"/>
    <mergeCell ref="C27:D27"/>
    <mergeCell ref="C37:D37"/>
    <mergeCell ref="C14:D14"/>
    <mergeCell ref="C28:D28"/>
    <mergeCell ref="C22:D22"/>
    <mergeCell ref="C23:D23"/>
    <mergeCell ref="C9:D9"/>
    <mergeCell ref="C40:D40"/>
    <mergeCell ref="C17:D17"/>
    <mergeCell ref="C39:D39"/>
    <mergeCell ref="C8:D8"/>
  </mergeCells>
  <hyperlinks>
    <hyperlink ref="D2" location="'Start Here'!A1" display="Start Here"/>
    <hyperlink xmlns:r="http://schemas.openxmlformats.org/officeDocument/2006/relationships" ref="C8" r:id="rId1"/>
    <hyperlink xmlns:r="http://schemas.openxmlformats.org/officeDocument/2006/relationships" ref="C9" r:id="rId2"/>
    <hyperlink xmlns:r="http://schemas.openxmlformats.org/officeDocument/2006/relationships" ref="C10"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21" r:id="rId8"/>
    <hyperlink xmlns:r="http://schemas.openxmlformats.org/officeDocument/2006/relationships" ref="C22" r:id="rId9"/>
    <hyperlink xmlns:r="http://schemas.openxmlformats.org/officeDocument/2006/relationships" ref="C23" r:id="rId10"/>
    <hyperlink xmlns:r="http://schemas.openxmlformats.org/officeDocument/2006/relationships" ref="C27" r:id="rId11"/>
    <hyperlink xmlns:r="http://schemas.openxmlformats.org/officeDocument/2006/relationships" ref="C28" r:id="rId12"/>
    <hyperlink xmlns:r="http://schemas.openxmlformats.org/officeDocument/2006/relationships" ref="C29" r:id="rId13"/>
    <hyperlink xmlns:r="http://schemas.openxmlformats.org/officeDocument/2006/relationships" ref="C33" r:id="rId14"/>
    <hyperlink xmlns:r="http://schemas.openxmlformats.org/officeDocument/2006/relationships" ref="C37" r:id="rId15"/>
    <hyperlink xmlns:r="http://schemas.openxmlformats.org/officeDocument/2006/relationships" ref="C38" r:id="rId16"/>
    <hyperlink xmlns:r="http://schemas.openxmlformats.org/officeDocument/2006/relationships" ref="C39" r:id="rId17"/>
    <hyperlink xmlns:r="http://schemas.openxmlformats.org/officeDocument/2006/relationships" ref="C40" r:id="rId18"/>
  </hyperlinks>
  <pageMargins left="0.4" right="0.4" top="0.5" bottom="0.5"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Zachary Rogers (FNIT Guy)</dc:creator>
  <dc:title xmlns:dc="http://purl.org/dc/elements/1.1/">Asset &amp; Mitigation Checklist - Threat Modeling for Normal People</dc:title>
  <dcterms:created xmlns:dcterms="http://purl.org/dc/terms/" xmlns:xsi="http://www.w3.org/2001/XMLSchema-instance" xsi:type="dcterms:W3CDTF">2026-09-27T16:20:56Z</dcterms:created>
  <dcterms:modified xmlns:dcterms="http://purl.org/dc/terms/" xmlns:xsi="http://www.w3.org/2001/XMLSchema-instance" xsi:type="dcterms:W3CDTF">2026-09-27T16:20:58Z</dcterms:modified>
</cp:coreProperties>
</file>